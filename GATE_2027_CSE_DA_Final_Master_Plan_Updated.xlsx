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Unreg\GATE\"/>
    </mc:Choice>
  </mc:AlternateContent>
  <xr:revisionPtr revIDLastSave="0" documentId="13_ncr:1_{E28AA7F0-29FB-4196-B8EB-BD04652DD1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Plan" sheetId="1" r:id="rId1"/>
    <sheet name="Rules and Sequence" sheetId="2" r:id="rId2"/>
    <sheet name="Phase Overview" sheetId="3" r:id="rId3"/>
    <sheet name="Syllabus Audit" sheetId="4" r:id="rId4"/>
    <sheet name="Completed Foundation" sheetId="5" r:id="rId5"/>
    <sheet name="Foundation Subtopics" sheetId="6" r:id="rId6"/>
    <sheet name="Subject Checklists" sheetId="7" r:id="rId7"/>
    <sheet name="Question Tracker" sheetId="8" r:id="rId8"/>
    <sheet name="Change Log" sheetId="9" r:id="rId9"/>
    <sheet name="Official Syllabus Coverage" sheetId="10" r:id="rId10"/>
    <sheet name="Priority &amp; Daily Routin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F54" i="7"/>
  <c r="F53" i="7"/>
  <c r="D51" i="7"/>
  <c r="D50" i="7"/>
  <c r="D49" i="7"/>
  <c r="D48" i="7"/>
  <c r="D47" i="7"/>
  <c r="D46" i="7"/>
  <c r="D45" i="7"/>
  <c r="D42" i="7"/>
  <c r="D41" i="7"/>
  <c r="D40" i="7"/>
  <c r="D39" i="7"/>
  <c r="D38" i="7"/>
  <c r="D37" i="7"/>
  <c r="D36" i="7"/>
  <c r="D35" i="7"/>
  <c r="D33" i="7"/>
  <c r="D32" i="7"/>
  <c r="D31" i="7"/>
  <c r="D30" i="7"/>
  <c r="D29" i="7"/>
  <c r="D28" i="7"/>
  <c r="D27" i="7"/>
  <c r="D25" i="7"/>
  <c r="D24" i="7"/>
  <c r="D23" i="7"/>
  <c r="D22" i="7"/>
  <c r="D21" i="7"/>
  <c r="D20" i="7"/>
  <c r="D18" i="7"/>
  <c r="D17" i="7"/>
  <c r="D16" i="7"/>
  <c r="D15" i="7"/>
  <c r="D14" i="7"/>
  <c r="D13" i="7"/>
  <c r="D12" i="7"/>
  <c r="D11" i="7"/>
  <c r="D8" i="7"/>
  <c r="D7" i="7"/>
  <c r="D6" i="7"/>
  <c r="D5" i="7"/>
  <c r="D4" i="7"/>
  <c r="D3" i="7"/>
  <c r="D2" i="7"/>
  <c r="E40" i="6"/>
  <c r="E39" i="6"/>
  <c r="E38" i="6"/>
  <c r="B13" i="3"/>
  <c r="B14" i="3" s="1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E4" i="3"/>
  <c r="D4" i="3"/>
  <c r="C4" i="3"/>
  <c r="B4" i="3"/>
  <c r="E3" i="3"/>
  <c r="D3" i="3"/>
  <c r="C3" i="3"/>
  <c r="B3" i="3"/>
  <c r="E2" i="3"/>
  <c r="D2" i="3"/>
  <c r="D11" i="3" s="1"/>
  <c r="C2" i="3"/>
  <c r="B2" i="3"/>
  <c r="O107" i="1"/>
  <c r="O106" i="1"/>
  <c r="O105" i="1"/>
  <c r="F9" i="3" s="1"/>
  <c r="O104" i="1"/>
  <c r="O103" i="1"/>
  <c r="O102" i="1"/>
  <c r="O101" i="1"/>
  <c r="O100" i="1"/>
  <c r="O99" i="1"/>
  <c r="O98" i="1"/>
  <c r="F8" i="3" s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F7" i="3" s="1"/>
  <c r="G7" i="3" s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F4" i="3" s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F3" i="3" s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F10" i="3" s="1"/>
  <c r="G10" i="3" s="1"/>
  <c r="O2" i="1"/>
  <c r="F2" i="3" s="1"/>
  <c r="G6" i="3" l="1"/>
  <c r="E11" i="3"/>
  <c r="G4" i="3"/>
  <c r="G5" i="3"/>
  <c r="G3" i="3"/>
  <c r="G9" i="3"/>
  <c r="G8" i="3"/>
  <c r="G2" i="3"/>
  <c r="F11" i="3"/>
  <c r="G11" i="3" s="1"/>
</calcChain>
</file>

<file path=xl/sharedStrings.xml><?xml version="1.0" encoding="utf-8"?>
<sst xmlns="http://schemas.openxmlformats.org/spreadsheetml/2006/main" count="2525" uniqueCount="883">
  <si>
    <t>Date</t>
  </si>
  <si>
    <t>Day</t>
  </si>
  <si>
    <t>Day type</t>
  </si>
  <si>
    <t>Phase</t>
  </si>
  <si>
    <t>Unit</t>
  </si>
  <si>
    <t>Main topic or session</t>
  </si>
  <si>
    <t>Subtopics and session focus</t>
  </si>
  <si>
    <t>Paper scope</t>
  </si>
  <si>
    <t>Theory done</t>
  </si>
  <si>
    <t>Previous-year questions done</t>
  </si>
  <si>
    <t>Revision done</t>
  </si>
  <si>
    <t>Recall test and mistake review done</t>
  </si>
  <si>
    <t>Unit complete</t>
  </si>
  <si>
    <t>Actual hours</t>
  </si>
  <si>
    <t>Previous-year question accuracy (fraction)</t>
  </si>
  <si>
    <t>Mistakes and next action</t>
  </si>
  <si>
    <t>First date</t>
  </si>
  <si>
    <t>Last date</t>
  </si>
  <si>
    <t>Total days</t>
  </si>
  <si>
    <t>Study sessions</t>
  </si>
  <si>
    <t>Days complete</t>
  </si>
  <si>
    <t>Percent complete</t>
  </si>
  <si>
    <t>Weekly catch-up</t>
  </si>
  <si>
    <t>Total</t>
  </si>
  <si>
    <t>First exam day reported for GATE 2027 (confirm your own paper date on the portal)</t>
  </si>
  <si>
    <t>Days remaining from today</t>
  </si>
  <si>
    <t>Subject</t>
  </si>
  <si>
    <t>Source units</t>
  </si>
  <si>
    <t>Status</t>
  </si>
  <si>
    <t>Diagnostic date</t>
  </si>
  <si>
    <t>Diagnostic score (fraction)</t>
  </si>
  <si>
    <t>Needs repair in second pass?</t>
  </si>
  <si>
    <t>Logic (propositional and first-order)</t>
  </si>
  <si>
    <t>Units 1 to 2</t>
  </si>
  <si>
    <t>Completed (stated by you, 23 October 2026)</t>
  </si>
  <si>
    <t>Not yet tested</t>
  </si>
  <si>
    <t>Sets, relations, lattices and functions</t>
  </si>
  <si>
    <t>Unit 3</t>
  </si>
  <si>
    <t>Combinatorics and group theory</t>
  </si>
  <si>
    <t>Unit 4</t>
  </si>
  <si>
    <t>Graph theory</t>
  </si>
  <si>
    <t>Unit 5</t>
  </si>
  <si>
    <t>Linear algebra</t>
  </si>
  <si>
    <t>Units 6 to 9</t>
  </si>
  <si>
    <t>Calculus</t>
  </si>
  <si>
    <t>Units 10 to 11</t>
  </si>
  <si>
    <t>Probability</t>
  </si>
  <si>
    <t>Units 12 to 15</t>
  </si>
  <si>
    <t>Statistics (central limit theorem, confidence intervals, hypothesis tests)</t>
  </si>
  <si>
    <t>Units 16 to 17</t>
  </si>
  <si>
    <t>Assumption: logic is counted inside the discrete mathematics you completed. If a topic was only partly covered (for example the integration part of calculus only), tell the plan and add a half-day to the first Sunday.</t>
  </si>
  <si>
    <t>Subtopic</t>
  </si>
  <si>
    <t>Paper</t>
  </si>
  <si>
    <t>Source unit</t>
  </si>
  <si>
    <t>Notes</t>
  </si>
  <si>
    <t>Logic</t>
  </si>
  <si>
    <t>Propositional logic: truth tables, equivalences, normal forms, inference, resolution</t>
  </si>
  <si>
    <t>Both papers</t>
  </si>
  <si>
    <t>Unit 1</t>
  </si>
  <si>
    <t>First-order logic: quantifiers, translating sentences, unification and resolution</t>
  </si>
  <si>
    <t>Unit 2</t>
  </si>
  <si>
    <t>Discrete mathematics</t>
  </si>
  <si>
    <t>Sets, relations, equivalence relations, partial orders, Hasse diagrams</t>
  </si>
  <si>
    <t>Computer Science only</t>
  </si>
  <si>
    <t>Lattices and functions (including counting functions)</t>
  </si>
  <si>
    <t>Recurrence relations and generating functions</t>
  </si>
  <si>
    <t>Graph terms, degree, paths, cycles, connectivity, trees</t>
  </si>
  <si>
    <t>Matrix properties and determinants</t>
  </si>
  <si>
    <t>Unit 6</t>
  </si>
  <si>
    <t>Gaussian elimination, solutions of linear systems, rank and nullity</t>
  </si>
  <si>
    <t>Unit 7</t>
  </si>
  <si>
    <t>Lower-upper (LU) decomposition</t>
  </si>
  <si>
    <t>Vector spaces, subspaces, linear independence, basis and dimension</t>
  </si>
  <si>
    <t>Unit 8</t>
  </si>
  <si>
    <t>Projections</t>
  </si>
  <si>
    <t>Data Science and Artificial Intelligence only</t>
  </si>
  <si>
    <t>Quadratic forms</t>
  </si>
  <si>
    <t>Unit 9</t>
  </si>
  <si>
    <t>Singular value decomposition</t>
  </si>
  <si>
    <t>Mean value theorems</t>
  </si>
  <si>
    <t>Unit 10</t>
  </si>
  <si>
    <t>Definite and indefinite integration</t>
  </si>
  <si>
    <t>Maxima and minima, single-variable optimization</t>
  </si>
  <si>
    <t>Unit 11</t>
  </si>
  <si>
    <t>Taylor and Maclaurin series</t>
  </si>
  <si>
    <t>Probability mass function, probability density function, cumulative distribution function</t>
  </si>
  <si>
    <t>Unit 13</t>
  </si>
  <si>
    <t>Expectation, variance, mean, median, mode, standard deviation</t>
  </si>
  <si>
    <t>Conditional expectation and conditional variance</t>
  </si>
  <si>
    <t>Uniform, Bernoulli, binomial and Poisson distributions</t>
  </si>
  <si>
    <t>Unit 14</t>
  </si>
  <si>
    <t>Exponential, normal and standard normal distributions</t>
  </si>
  <si>
    <t>Unit 15</t>
  </si>
  <si>
    <t>Covariance and correlation</t>
  </si>
  <si>
    <t>Statistics</t>
  </si>
  <si>
    <t>Central limit theorem</t>
  </si>
  <si>
    <t>Unit 16</t>
  </si>
  <si>
    <t>Student's t and chi-squared distributions</t>
  </si>
  <si>
    <t>Confidence intervals</t>
  </si>
  <si>
    <t>Null and alternate hypotheses, z-test, t-test, chi-squared test</t>
  </si>
  <si>
    <t>Unit 17</t>
  </si>
  <si>
    <t>Subtopics tested as solid</t>
  </si>
  <si>
    <t>Subtopics needing revision or not covered (put these on the January second-pass list)</t>
  </si>
  <si>
    <t>Subtopics not yet tested</t>
  </si>
  <si>
    <t>First scheduled date</t>
  </si>
  <si>
    <t>Priority</t>
  </si>
  <si>
    <t>Evidence or previous-year question score</t>
  </si>
  <si>
    <t>Operating Systems</t>
  </si>
  <si>
    <t>System calls, process states, process control block, context switching</t>
  </si>
  <si>
    <t>Unit 63</t>
  </si>
  <si>
    <t>High</t>
  </si>
  <si>
    <t>Not yet checked</t>
  </si>
  <si>
    <t>Threads (user and kernel)</t>
  </si>
  <si>
    <t>Central processing unit scheduling: first-come first-served, shortest job first, shortest remaining time first, round robin, priority</t>
  </si>
  <si>
    <t>Critical section problem, Peterson's solution, mutex, semaphores, classical problems, inter-process communication</t>
  </si>
  <si>
    <t>Unit 64</t>
  </si>
  <si>
    <t>Deadlocks: conditions, resource allocation graphs, prevention, Banker's algorithm, detection, recovery</t>
  </si>
  <si>
    <t>Unit 65</t>
  </si>
  <si>
    <t>Paging, multi-level page tables, translation lookaside buffer, segmentation</t>
  </si>
  <si>
    <t>Unit 66</t>
  </si>
  <si>
    <t>Demand paging, page replacement, thrashing</t>
  </si>
  <si>
    <t>Databases</t>
  </si>
  <si>
    <t>Entity-relationship model, relational model, keys, integrity constraints</t>
  </si>
  <si>
    <t>Unit 43</t>
  </si>
  <si>
    <t>Relational algebra and tuple relational calculus</t>
  </si>
  <si>
    <t>Unit 44</t>
  </si>
  <si>
    <t>Structured Query Language: joins, grouping, aggregation, nested and correlated subqueries, views</t>
  </si>
  <si>
    <t>Unit 45</t>
  </si>
  <si>
    <t>Functional dependencies, attribute closure, minimal cover</t>
  </si>
  <si>
    <t>Unit 46</t>
  </si>
  <si>
    <t>Normal forms through Boyce-Codd normal form, lossless join, dependency preservation</t>
  </si>
  <si>
    <t>File organization, indexing, B-trees and B+ trees</t>
  </si>
  <si>
    <t>Unit 47</t>
  </si>
  <si>
    <t>Transactions, atomicity, consistency, isolation, durability, serializability, recoverability</t>
  </si>
  <si>
    <t>Unit 48</t>
  </si>
  <si>
    <t>Concurrency control: two-phase locking, timestamp ordering, deadlock and recovery</t>
  </si>
  <si>
    <t>Multidimensional models, star and snowflake schemas, hierarchies, online analytical processing, measures (Data Science and Artificial Intelligence only)</t>
  </si>
  <si>
    <t>Unit 50</t>
  </si>
  <si>
    <t>Medium</t>
  </si>
  <si>
    <t>Theory of Computation</t>
  </si>
  <si>
    <t>Regular expressions, deterministic and nondeterministic finite automata, minimization, Arden's theorem</t>
  </si>
  <si>
    <t>Unit 51</t>
  </si>
  <si>
    <t>Regular language closure properties and pumping lemma</t>
  </si>
  <si>
    <t>Unit 52</t>
  </si>
  <si>
    <t>Context-free grammars, ambiguity, Chomsky normal form</t>
  </si>
  <si>
    <t>Unit 53</t>
  </si>
  <si>
    <t>Pushdown automata, context-free language closure properties, pumping lemma for context-free languages</t>
  </si>
  <si>
    <t>Turing machines, recursive and recursively enumerable languages</t>
  </si>
  <si>
    <t>Unit 54</t>
  </si>
  <si>
    <t>Compiler Design</t>
  </si>
  <si>
    <t>Lexical analysis: tokens, lexemes, scanner</t>
  </si>
  <si>
    <t>Parsing: FIRST and FOLLOW sets, LL(1), LR(0), SLR(1), CLR(1), LALR(1)</t>
  </si>
  <si>
    <t>Unit 55</t>
  </si>
  <si>
    <t>Syntax-directed translation: S-attributed and L-attributed definitions</t>
  </si>
  <si>
    <t>Unit 56</t>
  </si>
  <si>
    <t>Runtime environments and activation records</t>
  </si>
  <si>
    <t>Intermediate code: three-address code</t>
  </si>
  <si>
    <t>Basic blocks, control flow graphs, local optimization</t>
  </si>
  <si>
    <t>Unit 57</t>
  </si>
  <si>
    <t>Constant propagation, liveness analysis, common subexpression elimination</t>
  </si>
  <si>
    <t>Digital Logic</t>
  </si>
  <si>
    <t>Karnaugh maps and the tabular (Quine-McCluskey) method</t>
  </si>
  <si>
    <t>Unit 58</t>
  </si>
  <si>
    <t>Combinational circuits: multiplexers, decoders, adders</t>
  </si>
  <si>
    <t>Unit 59</t>
  </si>
  <si>
    <t>Sequential circuits: latches, flip-flops, counters, finite state machines</t>
  </si>
  <si>
    <t>Number representation and arithmetic: two's complement, fixed-point, floating-point (IEEE 754)</t>
  </si>
  <si>
    <t>Computer Organization and Architecture</t>
  </si>
  <si>
    <t>Instruction set, addressing modes</t>
  </si>
  <si>
    <t>Unit 60</t>
  </si>
  <si>
    <t>Arithmetic logic unit and datapath</t>
  </si>
  <si>
    <t>Control unit design: hardwired and microprogrammed</t>
  </si>
  <si>
    <t>Pipelining, hazards, forwarding</t>
  </si>
  <si>
    <t>Unit 61</t>
  </si>
  <si>
    <t>Computer Networks</t>
  </si>
  <si>
    <t>Principles of layering; circuit, packet and virtual-circuit switching; performance metrics</t>
  </si>
  <si>
    <t>Unit 68</t>
  </si>
  <si>
    <t>Error detection, medium access control, Ethernet</t>
  </si>
  <si>
    <t>Distance vector and link state routing</t>
  </si>
  <si>
    <t>Unit 69</t>
  </si>
  <si>
    <t>Internet Protocol version 4 fragmentation, classless inter-domain routing, network address translation</t>
  </si>
  <si>
    <t>Transmission Control Protocol flow control and congestion control; socket application programming interface</t>
  </si>
  <si>
    <t>Domain Name System and Hypertext Transfer Protocol</t>
  </si>
  <si>
    <t>Timed sectional test, error analysis and decision on whether a third session is needed</t>
  </si>
  <si>
    <t>Repair + sectional test</t>
  </si>
  <si>
    <t>Needs repair</t>
  </si>
  <si>
    <t>Verified</t>
  </si>
  <si>
    <t>Provisional: topics follow the units already in this plan and third-party syllabus summaries. Confirm each line against the official CS and Data Science and Artificial Intelligence syllabus PDFs, then set Status to Verified. Foundation subjects (Units 1 to 17) are on the Foundation Subtopics sheet.</t>
  </si>
  <si>
    <t>Year</t>
  </si>
  <si>
    <t>Topic</t>
  </si>
  <si>
    <t>Questions attempted</t>
  </si>
  <si>
    <t>Correct</t>
  </si>
  <si>
    <t>Accuracy (fraction)</t>
  </si>
  <si>
    <t>Time spent (minutes)</t>
  </si>
  <si>
    <t>Error category</t>
  </si>
  <si>
    <t>Re-solve date</t>
  </si>
  <si>
    <t>Computer Science</t>
  </si>
  <si>
    <t>Example row: graph algorithms (delete this row)</t>
  </si>
  <si>
    <t>Concept</t>
  </si>
  <si>
    <t>Review shortest-path questions again</t>
  </si>
  <si>
    <t>Priority (CSE primary)</t>
  </si>
  <si>
    <t>Daily routine (CSE-first allocation)</t>
  </si>
  <si>
    <t>Saturday</t>
  </si>
  <si>
    <t>Study session</t>
  </si>
  <si>
    <t>Phase 1: CSE/shared priority — programming, data structures and algorithms (Part 1)</t>
  </si>
  <si>
    <t>Unit 28</t>
  </si>
  <si>
    <t>Computer Science (C language) and Data Science and Artificial Intelligence (Python)</t>
  </si>
  <si>
    <t>Tier 1 – CSE/shared must master</t>
  </si>
  <si>
    <t>CSE/shared day (6.5–8 focused hours): 3–4 hours concepts and worked examples; 1.5–2 hours CSE PYQs first; 30–45 minutes DA-style variants where the topic overlaps; 20–30 minutes General Aptitude; 20 minutes spaced foundation recall; 15–20 minutes mistake log and recall quiz.</t>
  </si>
  <si>
    <t>No</t>
  </si>
  <si>
    <t>Sunday</t>
  </si>
  <si>
    <t>Timed test or diagnostic</t>
  </si>
  <si>
    <t>Sunday review 1</t>
  </si>
  <si>
    <t>Foundation diagnostic 1: Linear algebra and discrete mathematics</t>
  </si>
  <si>
    <t>Timed set of about 25 previous-year questions (90 minutes) covering linear algebra and discrete mathematics, including logic and graph theory. Any topic scoring below 70 percent goes onto the January second-pass list.</t>
  </si>
  <si>
    <t>Consolidation</t>
  </si>
  <si>
    <t>3-hour timed or 90-minute diagnostic attempt; deep analysis; update the mistake log; queue weak topics for repair.</t>
  </si>
  <si>
    <t>Monday</t>
  </si>
  <si>
    <t>Unit 29</t>
  </si>
  <si>
    <t>Programming 2: Memory, Pointers and Code Tracing</t>
  </si>
  <si>
    <t>Computer Science (C language): C pointers, arrays, strings, storage classes and output/code tracing; C uses lexical/static scope. Do not spend core syllabus time treating dynamic scoping as a C feature. | Data Science and Artificial Intelligence (Python): lists, dictionaries, slicing and tracing program output</t>
  </si>
  <si>
    <t>Tuesday</t>
  </si>
  <si>
    <t>Unit 30</t>
  </si>
  <si>
    <t>Data Structures 1: Arrays, Stacks and Queues</t>
  </si>
  <si>
    <t>Both papers: one-dimensional and two-dimensional array addressing, Stacks (infix/postfix, recursion stack), Queues (circular, priority queue basics)</t>
  </si>
  <si>
    <t>Shared by both papers</t>
  </si>
  <si>
    <t>Wednesday</t>
  </si>
  <si>
    <t>Unit 31</t>
  </si>
  <si>
    <t>Data Structures 2: Linked Lists</t>
  </si>
  <si>
    <t>Both papers: Singly, doubly, and circular linked lists; pointer manipulation and complexity in C and Python</t>
  </si>
  <si>
    <t>Thursday</t>
  </si>
  <si>
    <t>Unit 32</t>
  </si>
  <si>
    <t>Data Structures 3: Trees, Binary Search Trees and Heaps</t>
  </si>
  <si>
    <t>Both papers: Binary trees, tree traversals, Binary Search Trees, AVL rotations | Computer Science core: Binary heaps, heapify, priority queues</t>
  </si>
  <si>
    <t>Shared by both papers plus Computer Science core</t>
  </si>
  <si>
    <t>Friday</t>
  </si>
  <si>
    <t>Unit 33</t>
  </si>
  <si>
    <t>Data Structures 4: Hash Tables</t>
  </si>
  <si>
    <t>Both papers: Hash functions, collision resolution (chaining, open addressing: linear/quadratic probing, double hashing), load factor</t>
  </si>
  <si>
    <t>Unit 34</t>
  </si>
  <si>
    <t>Algorithms 1: Asymptotic Analysis and Recurrences</t>
  </si>
  <si>
    <t>Both papers: Big-O, Omega, Theta notations, time and space complexity | Computer Science core: Solving recurrences (Substitution, Tree, Master Theorem)</t>
  </si>
  <si>
    <t>Sunday review 2</t>
  </si>
  <si>
    <t>Foundation diagnostic 2: Calculus, probability and statistics</t>
  </si>
  <si>
    <t>Timed set of about 25 previous-year questions (90 minutes) covering calculus, probability, and statistics (central limit theorem, confidence intervals, hypothesis tests). Any topic scoring below 70 percent goes onto the January second-pass list.</t>
  </si>
  <si>
    <t>Unit 35</t>
  </si>
  <si>
    <t>Algorithms 2: Searching and Simple Sorting</t>
  </si>
  <si>
    <t>Both papers: Linear search, binary search, selection sort, bubble sort, insertion sort (stability and in-place analysis)</t>
  </si>
  <si>
    <t>Unit 36</t>
  </si>
  <si>
    <t>Algorithms 3: Divide and Conquer</t>
  </si>
  <si>
    <t>Both papers: Merge sort, Quick sort | Computer Science core: Counting inversions, min-max, recurrence-based divide and conquer design</t>
  </si>
  <si>
    <t>Unit 37</t>
  </si>
  <si>
    <t>Algorithms 4: Graph Traversals and Shortest Paths — Session A</t>
  </si>
  <si>
    <t>Both papers: Graph representations, breadth-first search, depth-first search, topological sort, Dijkstra's algorithm | Computer Science core: Bellman-Ford, Floyd-Warshall
Session focus: Part A: graph representations, breadth-first search/depth-first search and traversal properties</t>
  </si>
  <si>
    <t>Algorithms 4: Graph Traversals and Shortest Paths — Session B</t>
  </si>
  <si>
    <t>Both papers: Graph representations, breadth-first search, depth-first search, topological sort, Dijkstra's algorithm | Computer Science core: Bellman-Ford, Floyd-Warshall
Session focus: Part B: shortest paths, topological ordering and relevant Computer Science/Data Science and Artificial Intelligence previous-year questions</t>
  </si>
  <si>
    <t>Unit 38</t>
  </si>
  <si>
    <t>Algorithms 5: Greedy Algorithms and Minimum Spanning Trees</t>
  </si>
  <si>
    <t>Computer Science only: Prim's and Kruskal's minimum spanning tree algorithms, Disjoint sets, Fractional knapsack, Huffman coding, activity selection</t>
  </si>
  <si>
    <t>CSE-primary day (6.5–8 focused hours): 3.5–4 hours concepts and worked examples; 1.5–2 hours CSE PYQs; 30–45 minutes spaced revision; 20–30 minutes General Aptitude; 20 minutes foundation upkeep (Tue/Thu/Sat may use DA formula recall during CSE-only weeks); 15–20 minutes mistake log.</t>
  </si>
  <si>
    <t>Phase 2: Finish algorithms; AI search; databases/warehousing; begin Theory of Computation</t>
  </si>
  <si>
    <t>Unit 39</t>
  </si>
  <si>
    <t>Algorithms 6: Dynamic Programming — Session A</t>
  </si>
  <si>
    <t>Computer Science only: Overlapping subproblems, optimal substructure, longest common subsequence, Matrix Chain Multiplication, 0/1 Knapsack, subset sum
Session focus: Part A: optimal substructure, overlapping subproblems and recurrence formulation</t>
  </si>
  <si>
    <t>Sunday review 3</t>
  </si>
  <si>
    <t>Catch-up, spaced revision and sectional quiz</t>
  </si>
  <si>
    <t>No new topic. Finish overflow from the current block; re-solve mistake-log questions; review the spaced-revision queue; complete a 60 to 90 minute sectional quiz and analyse it.</t>
  </si>
  <si>
    <t>Catch up on unfinished sessions; review the spaced-revision queue; solve timed questions; update the mistake log; plan the coming week.</t>
  </si>
  <si>
    <t>Algorithms 6: Dynamic Programming — Session B</t>
  </si>
  <si>
    <t>Computer Science only: Overlapping subproblems, optimal substructure, longest common subsequence, Matrix Chain Multiplication, 0/1 Knapsack, subset sum
Session focus: Part B: syllabus-level dynamic programming problems and mixed previous-year questions</t>
  </si>
  <si>
    <t>Unit 40</t>
  </si>
  <si>
    <t>Artificial Intelligence Search 1: Uninformed Search</t>
  </si>
  <si>
    <t>Data Science and Artificial Intelligence only: Directly extends graph breadth-first search, depth-first search and Dijkstra's algorithm to state-space graphs, breadth-first search, depth-first search, Uniform Cost Search, Iterative Deepening</t>
  </si>
  <si>
    <t>Tier 2 – DA secondary coverage</t>
  </si>
  <si>
    <t>DA-only topic day (6–7.5 focused hours): 3–3.5 hours concept/examples; 60–90 minutes DA-style PYQs; 1.5 hours CSE-primary recall/PYQs from completed Units 1–17 (rotate logic/discrete maths, linear algebra, calculus, probability and statistics); 20–30 minutes General Aptitude; 30 minutes spaced revision; 15–20 minutes mistake log. Complete DA content, but do not let it crowd out CSE practice.</t>
  </si>
  <si>
    <t>Unit 41</t>
  </si>
  <si>
    <t>Artificial Intelligence Search 2: Informed Heuristic Search</t>
  </si>
  <si>
    <t>Data Science and Artificial Intelligence only: Greedy Best-First Search, A-star search, heuristic admissibility and consistency, graph versus tree search optimality</t>
  </si>
  <si>
    <t>Unit 42</t>
  </si>
  <si>
    <t>Artificial Intelligence Search 3: Adversarial Search</t>
  </si>
  <si>
    <t>Data Science and Artificial Intelligence only: Game playing trees, Minimax algorithm, Alpha-Beta pruning, evaluation functions</t>
  </si>
  <si>
    <t>Database Management 1: Entity-Relationship and Relational Models</t>
  </si>
  <si>
    <t>Both papers: Entity-Relationship model, relational model, keys, integrity constraints, entity-relationship-to-Relational mapping</t>
  </si>
  <si>
    <t>Database Management 2: Relational Algebra and Tuple Calculus</t>
  </si>
  <si>
    <t>Both papers: Relational algebra operators (selection, projection, joins, division), Tuple Relational Calculus queries</t>
  </si>
  <si>
    <t>Sunday review 4</t>
  </si>
  <si>
    <t>Database Management 3: Structured Query Language Mastery — Session A</t>
  </si>
  <si>
    <t>Both papers: Queries, joins, grouping (GROUP BY, HAVING), aggregations, nested and correlated subqueries, views
Session focus: Part A: relational queries, joins, aggregation, GROUP BY/HAVING</t>
  </si>
  <si>
    <t>Database Management 3: Structured Query Language Mastery — Session B</t>
  </si>
  <si>
    <t>Both papers: Queries, joins, grouping (GROUP BY, HAVING), aggregations, nested and correlated subqueries, views
Session focus: Part B: nested/correlated queries and mixed Structured Query Language previous-year questions</t>
  </si>
  <si>
    <t>Database Management 4: Normalization and Schema Design — Session A</t>
  </si>
  <si>
    <t>Both papers: Functional dependencies, Armstrong's axioms, attribute closure, minimal cover, Normal forms (first, second, third and Boyce-Codd normal forms), lossless join and dependency preservation
Session focus: Part A: functional dependencies, closures, candidate keys and minimal cover</t>
  </si>
  <si>
    <t>Database Management 4: Normalization and Schema Design — Session B</t>
  </si>
  <si>
    <t>Both papers: Functional dependencies, Armstrong's axioms, attribute closure, minimal cover, Normal forms (first, second, third and Boyce-Codd normal forms), lossless join and dependency preservation
Session focus: Part B: normal forms, lossless join and dependency preservation</t>
  </si>
  <si>
    <t>Database Management 5: File Organization and Indexing</t>
  </si>
  <si>
    <t>Both papers: Ordered/unordered files, dense/sparse, primary/secondary/clustering indexes, B-trees and B+ trees (order and node calculations)</t>
  </si>
  <si>
    <t>Database Management 6: Transactions and Concurrency Control</t>
  </si>
  <si>
    <t>Computer Science only: atomicity, consistency, isolation and durability properties, schedules, conflict/view serializability, recoverability, cascadeless schedules, two-phase locking, timestamp ordering, deadlock and recovery</t>
  </si>
  <si>
    <t>Sunday review 5</t>
  </si>
  <si>
    <t>Unit 49</t>
  </si>
  <si>
    <t>Data Warehousing 1: Data Prep and Transformation</t>
  </si>
  <si>
    <t>Data Science and Artificial Intelligence only: Data types (nominal, ordinal, interval, ratio), normalization (min-max, z-score, decimal scaling), discretization, sampling, compression</t>
  </si>
  <si>
    <t>Data Warehousing 2: Schemas and Online Analytical Processing Measures</t>
  </si>
  <si>
    <t>Data Science and Artificial Intelligence only: Multidimensional data models, Star, Snowflake and Fact Constellation schemas, concept hierarchies, online analytical processing operations, distributive/algebraic/holistic measures</t>
  </si>
  <si>
    <t>Theory of Computation 1: Regular Expressions and Finite Automata</t>
  </si>
  <si>
    <t>Computer Science only: regular expressions and finite automata (DFA/NFA/epsilon-NFA, equivalence and minimization). Arden's theorem and Moore/Mealy machines may be used as optional supporting practice; prioritise the exact named 2027 requirements first.</t>
  </si>
  <si>
    <t>Theory of Computation 2 + Compiler 1: Regular Languages and Lexical Analysis</t>
  </si>
  <si>
    <t>Computer Science only: Closure properties and Pumping lemma for Regular Languages, which is directly applied to Compiler Lexical Analysis (tokens, lexemes, deterministic finite automata scanner)</t>
  </si>
  <si>
    <t>Phase 3: Theory of Computation and compilers; begin CSE systems</t>
  </si>
  <si>
    <t>Theory of Computation 3: Context-Free Languages and Pushdown Automata</t>
  </si>
  <si>
    <t>Computer Science only: Context-Free Grammars, ambiguity, Chomsky normal form, Pushdown Automata (nondeterministic versus deterministic pushdown automata), context-free languages closure properties and Pumping lemma</t>
  </si>
  <si>
    <t>Theory of Computation 4: Turing Machines and Undecidability</t>
  </si>
  <si>
    <t>Computer Science only: Turing machines and undecidability. Practise standard undecidability/halting problem questions; Rice's theorem and reductions are supporting examples, not separate named syllabus bullets.</t>
  </si>
  <si>
    <t>Sunday review 6</t>
  </si>
  <si>
    <t>Compiler 2: Top-Down and Bottom-Up Parsing — Session A</t>
  </si>
  <si>
    <t>Computer Science only: Directly applies context-free grammars and pushdown automata: FIRST and FOLLOW sets, LL(1) parsers, Shift-Reduce, LR(0), SLR(1), CLR(1), LALR(1) parsers and conflict tables
Session focus: Part A: grammar preparation, FIRST/FOLLOW and LL(1)</t>
  </si>
  <si>
    <t>Compiler 2: Top-Down and Bottom-Up Parsing — Session B</t>
  </si>
  <si>
    <t>Computer Science only: Directly applies context-free grammars and pushdown automata: FIRST and FOLLOW sets, LL(1) parsers, Shift-Reduce, LR(0), SLR(1), CLR(1), LALR(1) parsers and conflict tables
Session focus: Part B: bottom-up parsing tables and conflict questions</t>
  </si>
  <si>
    <t>Compiler 3: Syntax-Directed Translation and Intermediate Code Generation</t>
  </si>
  <si>
    <t>Computer Science only: S-attributed and L-attributed syntax-directed definitions, parse tree evaluation, Three-Address Code, runtime environments and activation records</t>
  </si>
  <si>
    <t>Compiler 4: Code Optimization and Data Flow Analysis</t>
  </si>
  <si>
    <t>Computer Science only: Basic blocks, control flow graphs, local optimization, constant propagation, liveness analysis, common subexpression elimination</t>
  </si>
  <si>
    <t>Digital Logic 1: Boolean Algebra and Minimization</t>
  </si>
  <si>
    <t>Computer Science only (2027 syllabus): Boolean algebra, logic gates, minimization by algebraic technique, Karnaugh maps and the tabular (Quine–McCluskey) method</t>
  </si>
  <si>
    <t>Digital Logic 2: Combinational, Sequential and Arithmetic</t>
  </si>
  <si>
    <t>Computer Science only (2027 syllabus): combinational and sequential circuit design; multiplexers, decoders, adders, latches, flip-flops and counters; fixed-point and floating-point number representation and arithmetic.</t>
  </si>
  <si>
    <t>Sunday review 7</t>
  </si>
  <si>
    <t>Computer Organization and Architecture 1: Instruction Set Architecture, Datapath and Control Unit</t>
  </si>
  <si>
    <t>Computer Science only (2027 syllabus): Machine instructions, addressing modes, arithmetic logic unit, datapath design, hardwired versus microprogrammed control unit</t>
  </si>
  <si>
    <t>Computer Organization and Architecture 2: Instruction Pipelining and Hazards</t>
  </si>
  <si>
    <t>Computer Science only (2027 syllabus): Pipelining stages, speedup, throughput, stall cycles, structural, data (read-after-write, write-after-read and write-after-write) and control hazards, forwarding</t>
  </si>
  <si>
    <t>Phase 4: Computer Organization and Operating Systems</t>
  </si>
  <si>
    <t>Unit 62</t>
  </si>
  <si>
    <t>Computer Organization and Architecture 3: Cache Hierarchy, Input and Output and Direct Memory Access — Session A</t>
  </si>
  <si>
    <t>Computer Science only (2027 syllabus): memory interfacing and hierarchy performance; cache mapping (direct, associative, set-associative), write policies and average memory access time; I/O interface, interrupts and Direct Memory Access</t>
  </si>
  <si>
    <t>Computer Organization and Architecture 3: Cache Hierarchy, Input and Output and Direct Memory Access — Session B</t>
  </si>
  <si>
    <t>Operating Systems 1: Processes, Threads and Central Processing Unit Scheduling</t>
  </si>
  <si>
    <t>Computer Science only: System calls, fork(), process states, process control block, user/kernel threads, context switching, central processing unit scheduling (first-come first-served, shortest job first, shortest remaining time first, round robin, Priority)</t>
  </si>
  <si>
    <t>Operating Systems 2: Synchronization and Concurrency — Session A</t>
  </si>
  <si>
    <t>Computer Science only: Critical section problem, Peterson's solution, hardware locks, mutex, semaphores, classical synchronization problems, inter-process communication
Session focus: Part A: critical sections, locks, Peterson's solution and semaphores</t>
  </si>
  <si>
    <t>Sunday review 8</t>
  </si>
  <si>
    <t>CSE core catch-up: Theory of Computation, Compilers and mistake-log repair</t>
  </si>
  <si>
    <t>No new topic. Close any Theory of Computation/Compiler overflow; solve 10–15 CSE PYQs from the weakest current topic; review the spaced-revision queue. The 2024 Data Science and Artificial Intelligence paper has been moved until after all syllabus content is complete.</t>
  </si>
  <si>
    <t>Catch-up only: finish overflow, 60–90 minute CSE sectional quiz if current topics are complete, detailed error analysis, General Aptitude and formula/mistake-log review. No new chapter.</t>
  </si>
  <si>
    <t>Operating Systems 2: Synchronization and Concurrency — Session B</t>
  </si>
  <si>
    <t>Computer Science only: Critical section problem, Peterson's solution, hardware locks, mutex, semaphores, classical synchronization problems, inter-process communication
Session focus: Part B: classical synchronization problems, inter-process communication and previous-year questions</t>
  </si>
  <si>
    <t>Operating Systems 3: Deadlocks</t>
  </si>
  <si>
    <t>Computer Science only: Deadlock characterization (Coffman conditions), resource allocation graphs, prevention, Banker's algorithm (avoidance), detection and recovery</t>
  </si>
  <si>
    <t>Operating Systems 4: Memory Management and Virtual Memory — Session A</t>
  </si>
  <si>
    <t>Computer Science only: Connects directly to Computer Organization and Architecture cache memory: Paging, multi-level page tables, translation lookaside buffer effective access time, segmentation, demand paging, page replacement (first-in first-out, Optimal, least recently used), thrashing
Session focus: Part A: paging, address translation, page tables and translation lookaside buffer</t>
  </si>
  <si>
    <t>Operating Systems 4: Memory Management and Virtual Memory — Session B</t>
  </si>
  <si>
    <t>Computer Science only: Connects directly to Computer Organization and Architecture cache memory: Paging, multi-level page tables, translation lookaside buffer effective access time, segmentation, demand paging, page replacement (first-in first-out, Optimal, least recently used), thrashing
Session focus: Part B: virtual memory, page replacement and thrashing</t>
  </si>
  <si>
    <t>Phase 5: Finish CSE systems; DA uncertainty and Machine Learning (secondary)</t>
  </si>
  <si>
    <t>Unit 67</t>
  </si>
  <si>
    <t>Operating Systems 5: File Systems and Disk Scheduling</t>
  </si>
  <si>
    <t>Computer Science only: file systems and file allocation, free-space management, CPU and I/O scheduling as prescribed (including disk scheduling: first-come first-served, shortest seek time first, SCAN, C-SCAN and LOOK)</t>
  </si>
  <si>
    <t>Networks 1: Layering, Switching, Error Detection and Medium Access</t>
  </si>
  <si>
    <t>Computer Science only (2027 syllabus wording): Principles of layering; circuit, packet and virtual-circuit switching; performance metrics (delay, round-trip time, throughput, bandwidth-delay product, utilisation); data link layer: error detection, medium access control and Ethernet.
Not named in the 2027 wording, so keep to light awareness only: framing and bit stuffing, Ethernet bridging, the full OSI and TCP/IP layer lists.</t>
  </si>
  <si>
    <t>Sunday review 9</t>
  </si>
  <si>
    <t>Networks 2: Routing, Addressing, Transport and Application Layer</t>
  </si>
  <si>
    <t>Computer Science only (2027 syllabus wording): Distance vector and link state routing; Internet Protocol version 4 fragmentation, classless inter-domain routing (subnetting and supernetting) and network address translation; Transmission Control Protocol flow control (sliding window) and congestion control (slow start, additive increase multiplicative decrease); socket application programming interface; Domain Name System and Hypertext Transfer Protocol.
Heavy session: if it overruns, apply the buffer rule (borrow from the second pass, never skip ahead).</t>
  </si>
  <si>
    <t>Unit 18</t>
  </si>
  <si>
    <t>Artificial Intelligence Uncertainty 1: Bayesian Networks</t>
  </si>
  <si>
    <t>Data Science and Artificial Intelligence only: Reasoning under uncertainty, conditional independence representation, Bayesian network joint probability (links logic and probability)</t>
  </si>
  <si>
    <t>Unit 19</t>
  </si>
  <si>
    <t>Artificial Intelligence Uncertainty 2: Exact and Approximate Inference</t>
  </si>
  <si>
    <t>Data Science and Artificial Intelligence only: Exact inference via Variable Elimination; Approximate inference via Sampling (Rejection/Likelihood/Gibbs)</t>
  </si>
  <si>
    <t>Unit 20</t>
  </si>
  <si>
    <t>Machine Learning 1: Linear and Ridge Regression</t>
  </si>
  <si>
    <t>Data Science and Artificial Intelligence only: regression versus classification; simple and multiple linear regression, ridge regression; matrix/projection interpretation and regression PYQs</t>
  </si>
  <si>
    <t>Unit 21</t>
  </si>
  <si>
    <t>Machine Learning 2: Logistic Regression and k-nearest neighbours</t>
  </si>
  <si>
    <t>Data Science and Artificial Intelligence only: Logistic regression (uses calculus and optimization), k-Nearest Neighbour (distance metrics)</t>
  </si>
  <si>
    <t>Unit 22</t>
  </si>
  <si>
    <t>Machine Learning 3: Generative Classifiers (Naive Bayes and linear discriminant analysis)</t>
  </si>
  <si>
    <t>Data Science and Artificial Intelligence only: Naive Bayes classifier and Linear Discriminant Analysis (directly applies Bayes' theorem, the normal distribution and covariance)</t>
  </si>
  <si>
    <t>Sunday review 10</t>
  </si>
  <si>
    <t>Unit 23</t>
  </si>
  <si>
    <t>Machine Learning 4: Support Vector Machines — Session A</t>
  </si>
  <si>
    <t>Data Science and Artificial Intelligence only: Maximum margin hyperplane, support vectors, soft margin, kernels and quadratic optimization intuition
Session focus: Part A: margin, hyperplane, support vectors and soft margin</t>
  </si>
  <si>
    <t>Machine Learning 4: Support Vector Machines — Session B</t>
  </si>
  <si>
    <t>Data Science and Artificial Intelligence only: Maximum margin hyperplane, support vectors, soft margin, kernels and quadratic optimization intuition
Session focus: Part B: kernels and syllabus-level optimization intuition; previous-year questions</t>
  </si>
  <si>
    <t>Unit 24</t>
  </si>
  <si>
    <t>Machine Learning 5: Decision Trees</t>
  </si>
  <si>
    <t>Data Science and Artificial Intelligence only: Entropy, Information Gain, Gini Impurity, tree splitting and pruning</t>
  </si>
  <si>
    <t>Unit 25</t>
  </si>
  <si>
    <t>Machine Learning 6: Model Evaluation and Cross-Validation</t>
  </si>
  <si>
    <t>Data Science and Artificial Intelligence only: Train/test split, Bias-Variance trade-off, Leave-One-Out and k-fold cross-validation</t>
  </si>
  <si>
    <t>Unit 26</t>
  </si>
  <si>
    <t>Machine Learning 7: Neural Networks</t>
  </si>
  <si>
    <t>Data Science and Artificial Intelligence only: Multi-layer perceptron, feed-forward networks, activation functions, backpropagation and gradient descent</t>
  </si>
  <si>
    <t>Unit 27</t>
  </si>
  <si>
    <t>Machine Learning 8: Unsupervised Learning (Clustering and principal component analysis) — Session A</t>
  </si>
  <si>
    <t>Data Science and Artificial Intelligence only: k-means and k-medoids; hierarchical clustering (top-down/bottom-up, single-linkage and multiple-linkage); dimensionality reduction and principal component analysis</t>
  </si>
  <si>
    <t>Sunday review 11</t>
  </si>
  <si>
    <t>Machine Learning 8: Unsupervised Learning (Clustering and principal component analysis) — Session B</t>
  </si>
  <si>
    <t>Revision session</t>
  </si>
  <si>
    <t>Phase 6: Second-pass revision and targeted repair</t>
  </si>
  <si>
    <t>Second pass</t>
  </si>
  <si>
    <t>Second pass 1: Mathematics</t>
  </si>
  <si>
    <t>Linear algebra, calculus and discrete mathematics: formula sheet, mistake-log re-solves, diagnostic weak topics.</t>
  </si>
  <si>
    <t>1) Rapid revision of the formula sheet and mistake-log items (2 hours)
2) Timed mixed previous-year question set (2 hours)
3) Re-solve every earlier mistake in this subject (1.5 hours)
4) General Aptitude (20 to 30 minutes)
5) Update the mistake log (20 minutes)</t>
  </si>
  <si>
    <t>Second pass 2: Probability, statistics and uncertainty</t>
  </si>
  <si>
    <t>Probability, distributions, central limit theorem, hypothesis tests, Bayesian networks and inference.</t>
  </si>
  <si>
    <t>Second pass 3: Machine Learning</t>
  </si>
  <si>
    <t>All Machine Learning units: regression, classification, trees, evaluation, neural networks, clustering and principal component analysis.</t>
  </si>
  <si>
    <t>Second pass 4: Programming and data structures</t>
  </si>
  <si>
    <t>C and Python tracing, arrays, linked lists, trees, heaps and hashing.</t>
  </si>
  <si>
    <t>Second pass 5: Algorithms and Artificial Intelligence search</t>
  </si>
  <si>
    <t>Complexity, sorting, divide and conquer, graph algorithms, greedy, dynamic programming; uninformed, informed and adversarial search.</t>
  </si>
  <si>
    <t>Timed paper</t>
  </si>
  <si>
    <t>GATE Data Science and Artificial Intelligence 2024 paper: timed attempt</t>
  </si>
  <si>
    <t>All scheduled DA-specific topics are complete by 4 January. Attempt the authentic 2024 paper in 180 minutes. Analyse wrong, guessed and unattempted questions; tag each error by syllabus topic, cause and time.</t>
  </si>
  <si>
    <t>Exam runway</t>
  </si>
  <si>
    <t>Attempt authentic 2024 paper in 180 minutes; analyse all wrong/guessed/unattempted questions; record topic, error type and time; select three repair targets. Keep CSE primary and note DA-only weaknesses for the next week.</t>
  </si>
  <si>
    <t>Second pass 6: Databases and data warehousing</t>
  </si>
  <si>
    <t>Relational algebra, Structured Query Language, normal forms, indexing, transactions, data preparation and online analytical processing.</t>
  </si>
  <si>
    <t>Second pass 7: Theory of Computation and Compiler Design</t>
  </si>
  <si>
    <t>Finite automata, grammars, pushdown automata, Turing machines, parsing, syntax-directed translation, optimization.</t>
  </si>
  <si>
    <t>Second pass 8: Digital Logic and Computer Organization and Architecture</t>
  </si>
  <si>
    <t>Minimization, circuits, number representation, instruction set, pipelining, cache and input and output.</t>
  </si>
  <si>
    <t>Second pass 9: Operating Systems</t>
  </si>
  <si>
    <t>Scheduling, synchronization, deadlocks, memory management, virtual memory, file systems.</t>
  </si>
  <si>
    <t>Second pass 10: Computer Networks and logic</t>
  </si>
  <si>
    <t>Routing, addressing, transport, application layer (2027 wording); propositional and predicate logic.</t>
  </si>
  <si>
    <t>Repair day</t>
  </si>
  <si>
    <t>Computer Networks sectional test and targeted repair</t>
  </si>
  <si>
    <t>1) Timed CSE Networks sectional test (60–90 minutes) on all official 2027 syllabus points. 2) Analyse every wrong/guessed answer. 3) Repair weakest subtopic. 4) On this day, decide whether a third Networks session is needed: trigger one only if the test is below 70%, the analysis exposes a major topic gap, or Unit 69 was not completed well. Borrow from 18 or 19 January; do not add a new calendar day.</t>
  </si>
  <si>
    <t>Networks sectional test (60–90 minutes); analyse mistakes (60 minutes); repair weakest Networks area (90 minutes); use remaining time for CSE mock/diagnostic weak topic; General Aptitude and mistake-log update.</t>
  </si>
  <si>
    <t>GATE Data Science and Artificial Intelligence 2025 paper: timed attempt</t>
  </si>
  <si>
    <t>Attempt the authentic 2025 paper in 180 minutes after checking the 2024 paper's repair list. Analyse wrong, guessed and unattempted questions; record topic, error type and time.</t>
  </si>
  <si>
    <t>Attempt authentic 2025 paper in 180 minutes; analyse all wrong/guessed/unattempted questions; compare error patterns with 2024; select three repair targets. Keep CSE primary and avoid overfitting to one paper.</t>
  </si>
  <si>
    <t>Repair</t>
  </si>
  <si>
    <t>Weak-topic repair day 2: Computer Science</t>
  </si>
  <si>
    <t>Computer Science weak topics and mistake-log re-solves.</t>
  </si>
  <si>
    <t>Weak-topic repair day 3: Data Science and Artificial Intelligence</t>
  </si>
  <si>
    <t>Data Science and Artificial Intelligence weak topics and mistake-log re-solves.</t>
  </si>
  <si>
    <t>Phase 7: CSE mocks, DA papers/sectionals and repair</t>
  </si>
  <si>
    <t>Mock test</t>
  </si>
  <si>
    <t>Computer Science full-length mock test 1</t>
  </si>
  <si>
    <t>Attempt a full paper in 180 minutes under exam conditions. Do not add new topics.</t>
  </si>
  <si>
    <t>Full 180-minute timed attempt; tag every error (concept, calculation, misread, time, guess); no new topics.</t>
  </si>
  <si>
    <t>Analysis and repair after mock 1</t>
  </si>
  <si>
    <t>Deep analysis of the last mock; repair the three weakest topics.</t>
  </si>
  <si>
    <t>Analyse yesterday's mock; re-solve every wrong question; repair the three weakest topics; update the mistake log.</t>
  </si>
  <si>
    <t>Data Science and Artificial Intelligence timed sectional test: Machine Learning and AI</t>
  </si>
  <si>
    <t>Timed 90–120 minute DA sectional set on regression/classification, evaluation, neural networks, clustering, search and uncertainty. Analyse mistakes; this is a sectional test, not a fourth full paper.</t>
  </si>
  <si>
    <t>Timed sectional test (60–120 minutes) followed by detailed error analysis and one targeted repair block. This day supplements the authentic DA papers; it does not replace CSE full-mock analysis.</t>
  </si>
  <si>
    <t>Analysis and repair after mock 2</t>
  </si>
  <si>
    <t>GATE Data Science and Artificial Intelligence 2026 paper: timed attempt</t>
  </si>
  <si>
    <t>Attempt the authentic 2026 paper in 180 minutes. This is the final planned DA previous-year paper. Analyse wrong, guessed and unattempted questions and set the final DA repair list without displacing CSE mock review.</t>
  </si>
  <si>
    <t>Attempt authentic 2026 paper in 180 minutes; complete an error and time analysis; identify only the most impactful DA repairs. Protect CSE mock analysis and begin exam taper after 2 February.</t>
  </si>
  <si>
    <t>Computer Science full-length mock test 2</t>
  </si>
  <si>
    <t>Analysis and repair after mock 3</t>
  </si>
  <si>
    <t>Data Science and Artificial Intelligence timed sectional test: probability, linear algebra and databases</t>
  </si>
  <si>
    <t>Timed 90–120 minute DA sectional set on probability/statistics, linear algebra, programming/algorithms and database/warehousing. Analyse mistakes and target repairs.</t>
  </si>
  <si>
    <t>Analysis and repair after mock 4</t>
  </si>
  <si>
    <t>Computer Science full-length mock test 3</t>
  </si>
  <si>
    <t>Analysis and repair after mock 5</t>
  </si>
  <si>
    <t>Sunday review</t>
  </si>
  <si>
    <t>Sunday: light review of formula sheets, no heavy test</t>
  </si>
  <si>
    <t>No new topic. Review formula sheets and the mistake log; stay rested.</t>
  </si>
  <si>
    <t>Light review only; update the mistake log.</t>
  </si>
  <si>
    <t>Data Science and Artificial Intelligence final mixed sectional test</t>
  </si>
  <si>
    <t>Timed 60–90 minute mixed DA set; prioritise repeated error types and formula/application recall. Do not take another full mock if fatigue or CSE mock repairs remain.</t>
  </si>
  <si>
    <t>Analysis and final weak-topic repair</t>
  </si>
  <si>
    <t>Final taper</t>
  </si>
  <si>
    <t>Phase 8: Final taper</t>
  </si>
  <si>
    <t>Taper 1</t>
  </si>
  <si>
    <t>Formula sheets and mistake log (light)</t>
  </si>
  <si>
    <t>Read formula sheets and the mistake log only. No full mock tests.</t>
  </si>
  <si>
    <t>Light revision (3 to 4 hours); early night.</t>
  </si>
  <si>
    <t>Taper 2</t>
  </si>
  <si>
    <t>Light revision and exam logistics</t>
  </si>
  <si>
    <t>Check admit card, exam centre route, identification documents and permitted items. Short formula review only.</t>
  </si>
  <si>
    <t>Light revision (2 to 3 hours); prepare everything for the exam day.</t>
  </si>
  <si>
    <t>Taper 3</t>
  </si>
  <si>
    <t>Rest day before the first exam window</t>
  </si>
  <si>
    <t>Rest. Confirm your own exam date and session on the official portal. No new material.</t>
  </si>
  <si>
    <t>Rest; light walk; early night.</t>
  </si>
  <si>
    <t>Rule</t>
  </si>
  <si>
    <t>Decision</t>
  </si>
  <si>
    <t>Core rule</t>
  </si>
  <si>
    <t>Computer Science (CSE) is the primary paper. CSE-only and genuinely shared topics are Tier 1 and receive the first claim on study and PYQ time. Data Science and Artificial Intelligence (DA) only topics remain required, but are Tier 2 and do not displace CSE practice.</t>
  </si>
  <si>
    <t>Starting point</t>
  </si>
  <si>
    <t>Study week</t>
  </si>
  <si>
    <t>Sequence</t>
  </si>
  <si>
    <t>CSE/shared priority sequence: C and Python programming; data structures and algorithms; AI search immediately after graph algorithms; database core then DA data preparation/warehousing; Theory of Computation and compiler design; Digital Logic, Computer Organization, Operating Systems and Networks; finally DA uncertainty/Bayesian inference and Machine Learning. One main topic stream; no unrelated chapter switching.</t>
  </si>
  <si>
    <t>Content end dates</t>
  </si>
  <si>
    <t>CSE-specific content through Networks ends 21 December 2026. The final DA-only Bayesian uncertainty and Machine Learning block runs 22 December to 4 January 2027. All scheduled content ends 4 January; second pass remains 5–19 January; mock/repair phase 20 January–2 February; final taper 3–5 February.</t>
  </si>
  <si>
    <t>Completion rule</t>
  </si>
  <si>
    <t>Do not mark a unit complete because its date has passed. Set all four Yes/No completion checks (theory, previous-year questions, revision, recall/mistake review) to Yes; the Unit complete formula then shows Complete.</t>
  </si>
  <si>
    <t>Buffer rule</t>
  </si>
  <si>
    <t>If a session overruns, finish it on the next Sunday/catch-up slot or use 18 or 19 January for repair. 16 January is reserved for a Computer Networks sectional test. Add a third Networks session only if its sectional score is below 70%, Unit 69 is incomplete, or error analysis shows a material gap; use 18 or 19 January rather than adding a calendar day.</t>
  </si>
  <si>
    <t>Spaced revision</t>
  </si>
  <si>
    <t>Each study day keeps its existing spaced-revision structure: re-test earlier content after 1, 3, 7 and 21 study sessions. Sundays are not counted as new study sessions unless they hold an explicitly scheduled timed paper.</t>
  </si>
  <si>
    <t>Foundation upkeep</t>
  </si>
  <si>
    <t>Every day includes a short retrieval block from completed Units 1–17. During CSE-heavy weeks, use Tuesday, Thursday and Saturday for DA formula recall plus 3–5 starred questions; on DA-only days, the larger extra block is reserved for CSE foundation PYQs.</t>
  </si>
  <si>
    <t>Daily time budget</t>
  </si>
  <si>
    <t>CSE/shared days: approximately 6.5–8 hours, with 3–4 hours concepts, 1.5–2 hours CSE PYQs first, then DA-style variants where topics overlap, plus General Aptitude, spaced revision and mistake logging. DA-only days: cap new DA content at 3–3.5 hours, use 60–90 minutes for DA PYQs, then 1.5 hours for CSE foundation recall/PYQs, plus General Aptitude and spaced revision.</t>
  </si>
  <si>
    <t>Previous-year question rule</t>
  </si>
  <si>
    <t>Aim for 15–25 suitable questions only when authentic questions are available. Analyse fewer hard questions fully rather than rush. Use authentic official papers and answer keys; never substitute invented questions for unavailable papers.</t>
  </si>
  <si>
    <t>Two content sessions remain scheduled on 19 and 21 December. Coverage is matched to the official 2027 CS PDF: layering; circuit/packet/virtual-circuit switching and performance metrics; error detection, MAC and Ethernet; distance-vector/link-state routing; IPv4 fragmentation, CIDR and NAT; TCP flow/congestion control; socket API; DNS and HTTP. The 16 January sectional test decides whether a third session is needed.</t>
  </si>
  <si>
    <t>Timed papers</t>
  </si>
  <si>
    <t>GATE DA 2024 paper: 10 January 2027; DA 2025 paper: 17 January 2027; DA 2026 paper: 24 January 2027. These are study targets, not official exam appointments. Verify each paper and answer key are authentic and available; the 2024 paper is intentionally moved until after the final DA content block.</t>
  </si>
  <si>
    <t>Exam dates</t>
  </si>
  <si>
    <t>The official GATE 2027 schedule lists 6, 7, 13, 14, 20 and 21 February 2027. These are exam windows, not your confirmed personal paper slots; check the official portal/admit card and, once known, tune the final taper to the actual first paper.</t>
  </si>
  <si>
    <t>Legend</t>
  </si>
  <si>
    <t>Tier 1 — CSE/shared must master; Tier 2 — DA secondary coverage (complete but do not displace CSE PYQs); grey — catch-up/consolidation; purple — timed papers/mock runway. Edit yellow Yes/No, actual-hours, accuracy and mistakes fields.</t>
  </si>
  <si>
    <t>Naming note</t>
  </si>
  <si>
    <t>Use the exact official 2027 syllabus, not generic or prior-year assumptions. Standard algorithm/parser names such as LL(1), LR(0), SLR(1), CLR(1), LALR(1), AVL, SCAN, C-SCAN and LOOK remain in their conventional form.</t>
  </si>
  <si>
    <t>Priority note: CS-specific content through Computer Networks is scheduled to finish on 21 December; the final DA-only uncertainty/Machine Learning block finishes 4 January. All planned syllabus content is scheduled by 4 January, preserving the second-pass, mock/repair and final-taper date windows.</t>
  </si>
  <si>
    <t>Official syllabus section</t>
  </si>
  <si>
    <t>Planned unit(s) / date coverage</t>
  </si>
  <si>
    <t>Coverage status</t>
  </si>
  <si>
    <t>Priority treatment</t>
  </si>
  <si>
    <t>Official source</t>
  </si>
  <si>
    <t>Engineering Mathematics</t>
  </si>
  <si>
    <t>Units 1–17 (completed foundation); diagnostics 25 October and 1 November</t>
  </si>
  <si>
    <t>Mapped to Foundation Subtopics and Official Syllabus Coverage; mastery remains unverified until scores are entered</t>
  </si>
  <si>
    <t>Tier 1 CSE/shared</t>
  </si>
  <si>
    <t>https://gate2027.iitm.ac.in/static/doc/GATE2027_Syllabus/CS_GATE2027_Syllabus.pdf</t>
  </si>
  <si>
    <t>Units 58–59 (scheduled 4–5 December in the revised stream)</t>
  </si>
  <si>
    <t>Mapped; includes algebraic technique, Karnaugh map, tabular method, combinational/sequential circuits, fixed/floating point</t>
  </si>
  <si>
    <t>Tier 1 CSE</t>
  </si>
  <si>
    <t>Units 60–62 (scheduled 7–10 December)</t>
  </si>
  <si>
    <t>Mapped; includes ISA/addressing, ALU, control-unit designs, memory hierarchy/cache, interface/interrupt/DMA, pipeline hazards</t>
  </si>
  <si>
    <t>Programming and Data Structures</t>
  </si>
  <si>
    <t>Mapped; C and recursion; arrays, stacks, queues, linked lists, trees, BST, heaps, graphs</t>
  </si>
  <si>
    <t>Algorithms</t>
  </si>
  <si>
    <t>Units 34–39 (scheduled 30 October–9 November)</t>
  </si>
  <si>
    <t>Mapped; worst-case time/space, search/sort/hash, greedy, dynamic programming, divide-and-conquer, graph traversal, MST, shortest paths</t>
  </si>
  <si>
    <t>Units 51–54 (scheduled 25 November–28 November)</t>
  </si>
  <si>
    <t>Mapped; finite automata/regular expressions, CFG/PDA, pumping lemma, Turing machines and undecidability</t>
  </si>
  <si>
    <t>Units 52 and 55–57 (scheduled 26 November–3 December)</t>
  </si>
  <si>
    <t>Mapped; lexical analysis, parsers, syntax-directed translation, runtime environments, intermediate code and data-flow/local optimisation</t>
  </si>
  <si>
    <t>Units 63–67 (scheduled 11–18 December)</t>
  </si>
  <si>
    <t>Mapped; system calls, processes/threads/IPC/synchronisation, deadlocks, CPU/I/O scheduling, memory/virtual memory and file systems</t>
  </si>
  <si>
    <t>Units 43–48 (scheduled 13–21 November)</t>
  </si>
  <si>
    <t>Mapped; ER/relational models, relational algebra/calculus/SQL, integrity constraints, normal forms, file organisation/indexing, transactions/concurrency</t>
  </si>
  <si>
    <t>Units 68–69 (scheduled 19 and 21 December); sectional test 16 January</t>
  </si>
  <si>
    <t>Mapped to the revised 2027 wording; sectional-test evidence determines whether a third session is necessary</t>
  </si>
  <si>
    <t>Data Science and Artificial Intelligence</t>
  </si>
  <si>
    <t>Probability and Statistics</t>
  </si>
  <si>
    <t>Units 12–17 (completed foundation); diagnostic 1 November</t>
  </si>
  <si>
    <t>Mapped; conditional PDF, distributions, conditional expectation/variance, CLT, confidence intervals and z/t/chi-squared tests explicitly listed</t>
  </si>
  <si>
    <t>Shared topics Tier 1; DA-only details secondary</t>
  </si>
  <si>
    <t>https://gate2027.iitm.ac.in/static/doc/GATE2027_Syllabus/DA_GATE2027_Syllabus.pdf</t>
  </si>
  <si>
    <t>Linear Algebra</t>
  </si>
  <si>
    <t>Units 6–9 (completed foundation); diagnostic 25 October</t>
  </si>
  <si>
    <t>Mapped; vector spaces, matrix types, projections, quadratic forms, rank/nullity, LU and SVD</t>
  </si>
  <si>
    <t>Calculus and Optimization</t>
  </si>
  <si>
    <t>Units 10–11 (completed foundation); diagnostics 25 October and 1 November</t>
  </si>
  <si>
    <t>Mapped; single-variable limits/continuity/differentiability, Taylor series, maxima/minima and optimization</t>
  </si>
  <si>
    <t>Programming, Data Structures and Algorithms</t>
  </si>
  <si>
    <t>Mapped; Python, stacks/queues/linked lists/trees/hash tables, search, required sorts, divide-and-conquer and basic graph algorithms</t>
  </si>
  <si>
    <t>Tier 1 because shared</t>
  </si>
  <si>
    <t>Database Management and Warehousing</t>
  </si>
  <si>
    <t>Units 43–50 (scheduled 13–24 November)</t>
  </si>
  <si>
    <t>Mapped; database core is Tier 1 shared; data transformation and warehouse modelling are DA-only secondary coverage</t>
  </si>
  <si>
    <t>Core Tier 1; warehousing Tier 2</t>
  </si>
  <si>
    <t>Machine Learning</t>
  </si>
  <si>
    <t>Units 20–27 (scheduled 22 December–4 January)</t>
  </si>
  <si>
    <t>Mapped; regressions/classifiers, SVM, trees, bias–variance, LOO/k-fold, MLP/feed-forward networks, clustering and PCA</t>
  </si>
  <si>
    <t>Tier 2 DA secondary; full coverage still required</t>
  </si>
  <si>
    <t>Artificial Intelligence</t>
  </si>
  <si>
    <t>Logic Units 1–2 (completed); search Units 40–42 (10–12 November); uncertainty/inference Units 18–19 (22–23 December)</t>
  </si>
  <si>
    <t>Mapped; informed/uninformed/adversarial search, propositional/predicate logic, conditional independence, variable elimination and sampling</t>
  </si>
  <si>
    <t>Tier 1 for shared logic; DA-only content Tier 2</t>
  </si>
  <si>
    <t>General Aptitude and exam pattern</t>
  </si>
  <si>
    <t>20–30 minutes daily; timed paper/mock schedule in January</t>
  </si>
  <si>
    <t>Scheduled daily; the official pattern assigns General Aptitude 15 marks in each paper</t>
  </si>
  <si>
    <t>Always maintain</t>
  </si>
  <si>
    <t>https://gate2027.iitm.ac.in/exam_papers_and_syllabus</t>
  </si>
  <si>
    <t>Audit boundary</t>
  </si>
  <si>
    <t>Coverage vs mastery</t>
  </si>
  <si>
    <t>See Official Syllabus Coverage sheet</t>
  </si>
  <si>
    <t>Official syllabus requirements have been mapped to units; this does not claim every item is already mastered. Enter diagnostics and PYQ evidence before marking a topic solid.</t>
  </si>
  <si>
    <t>Do not skip a mapped item</t>
  </si>
  <si>
    <t>Combinatorics</t>
  </si>
  <si>
    <t>Counting, permutations and combinations</t>
  </si>
  <si>
    <t>Official CS and DA coverage. Continue with recurrence relations/generating functions in the next rows.</t>
  </si>
  <si>
    <t>Algebra</t>
  </si>
  <si>
    <t>Monoids and groups</t>
  </si>
  <si>
    <t>Official CS syllabus requirement. Lagrange's theorem is optional extra detail; do not let it displace official core.</t>
  </si>
  <si>
    <t>Official CS graph core: connectivity, matching and colouring</t>
  </si>
  <si>
    <t>Euler/Hamiltonian graphs and planarity are not named in the 2027 CS syllabus; keep them optional if time remains.</t>
  </si>
  <si>
    <t>Projection matrix, orthogonal matrix, idempotent matrix and partition matrices with their properties</t>
  </si>
  <si>
    <t>Official DA wording includes each matrix type and its properties.</t>
  </si>
  <si>
    <t>Eigenvalues and eigenvectors</t>
  </si>
  <si>
    <t>Cayley–Hamilton theorem is not named in either official 2027 syllabus; treat it as optional enrichment, not a must-master topic.</t>
  </si>
  <si>
    <t>Functions of a single variable, limits, continuity and differentiability</t>
  </si>
  <si>
    <t>L'Hôpital's rule is not explicitly named in the 2027 syllabi; don't let it displace mean value theorem or integration for CS.</t>
  </si>
  <si>
    <t>Probability axioms, sample spaces and events; counting, conditional probability, independence, mutually exclusive events and Bayes' theorem</t>
  </si>
  <si>
    <t>Unit 12</t>
  </si>
  <si>
    <t>Use CSE-level probability coverage plus DA-specific probability PYQs.</t>
  </si>
  <si>
    <t>Joint, marginal and conditional distributions, including conditional probability density functions for DA</t>
  </si>
  <si>
    <t>Official DA syllabus explicitly includes marginal, conditional and joint probabilities and conditional PDF.</t>
  </si>
  <si>
    <t>Source: Official GATE 2027 syllabi (IIT Madras). These entries are mapped to syllabus wording, but a 'Not yet tested' status means mastery is not asserted. CSE PDF: https://gate2027.iitm.ac.in/static/doc/GATE2027_Syllabus/CS_GATE2027_Syllabus.pdf | DA PDF: https://gate2027.iitm.ac.in/static/doc/GATE2027_Syllabus/DA_GATE2027_Syllabus.pdf. Use the 25 Oct and 1 Nov diagnostics to record actual evidence.</t>
  </si>
  <si>
    <t>File systems, file allocation methods, free-space management and I/O scheduling scope</t>
  </si>
  <si>
    <t>Official CS syllabus explicitly includes CPU and I/O scheduling; the scheduled session emphasises disk/I/O scheduling.</t>
  </si>
  <si>
    <t>Disk scheduling: first-come first-served, shortest seek time first, SCAN, C-SCAN and LOOK</t>
  </si>
  <si>
    <t>Data preparation: data types; transformation including normalization, discretization, sampling and compression (DA only)</t>
  </si>
  <si>
    <t>Undecidability, including the halting problem; use reductions/examples as supporting practice</t>
  </si>
  <si>
    <t>Rice's theorem is not explicitly named in the 2027 CS syllabus; use it as an example only if time remains.</t>
  </si>
  <si>
    <t>Boolean algebra, logic gates and algebraic minimization technique</t>
  </si>
  <si>
    <t>Memory interfacing and hierarchy performance, cache mapping, write policies and average memory access time</t>
  </si>
  <si>
    <t>I/O interface, interrupts and direct memory access</t>
  </si>
  <si>
    <t>Change</t>
  </si>
  <si>
    <t>Details</t>
  </si>
  <si>
    <t>CSE-first study order</t>
  </si>
  <si>
    <t>Re-sequenced the existing 62 study sessions: programming/data structures/algorithms first; AI search follows graph algorithms; database core precedes warehousing; TOC/compiler and CSE systems next; DA-only uncertainty and Machine Learning are last.</t>
  </si>
  <si>
    <t>Priority tiers</t>
  </si>
  <si>
    <t>All CSE-only and genuinely shared study sessions are Tier 1 — CSE/shared must master. DA-only sessions are Tier 2 — DA secondary coverage. DA content is still required; the rule limits its daily time so it cannot displace CSE practice.</t>
  </si>
  <si>
    <t>Dates and sessions preserved</t>
  </si>
  <si>
    <t>The calendar dates remain 24 October 2026–5 February 2027; all original phase date windows are unchanged; exactly 62 study-session slots remain.</t>
  </si>
  <si>
    <t>Official syllabus audit</t>
  </si>
  <si>
    <t>Added Official Syllabus Coverage with CS and DA requirements mapped to units, dates, priority and the official PDF URL. Syllabus mapping is verified against the official syllabus text; mastery is not claimed until diagnostics/PYQs are entered.</t>
  </si>
  <si>
    <t>Foundation checklist</t>
  </si>
  <si>
    <t>Updated Foundation Subtopics wording to include probability axioms/events/mutual exclusivity and conditional PDF and to mark optional topics not named in the 2027 syllabus as optional.</t>
  </si>
  <si>
    <t>CS subtopic checklist</t>
  </si>
  <si>
    <t>Updated subject checklist descriptions to explicitly include minimization technique, memory interfacing/hierarchy, I/O scheduling and data compression.</t>
  </si>
  <si>
    <t>DA official papers</t>
  </si>
  <si>
    <t>Moved DA 2024/2025/2026 timed paper attempts to 10/17/24 January, after all DA-specific content ends on 4 January; converted generic DA full mocks in the mock runway to targeted sectionals.</t>
  </si>
  <si>
    <t>Networks gate</t>
  </si>
  <si>
    <t>Kept the 16 January Networks sectional test and explicit &lt;70% / material-gap / Unit 69-incomplete trigger for borrowing a repair day for a third session.</t>
  </si>
  <si>
    <t>Dynamic scoping wording</t>
  </si>
  <si>
    <t>Removed dynamic scoping as a C feature in Unit 29. C uses lexical/static scope; dynamic scoping is not an explicit 2027 CS syllabus requirement.</t>
  </si>
  <si>
    <t>Formula checks</t>
  </si>
  <si>
    <t>Restored the Unit complete formula after schedule re-sequencing and set the countdown cell to a number format so days remaining display numerically.</t>
  </si>
  <si>
    <t>Source</t>
  </si>
  <si>
    <t>Master source: GATE_2027_Final_Day_by_Day_Plan_Master.xlsx. Use this final workbook as the single master; retain other copies only as references.</t>
  </si>
  <si>
    <t>Official syllabus area</t>
  </si>
  <si>
    <t>Requirement to verify</t>
  </si>
  <si>
    <t>Planned unit(s)</t>
  </si>
  <si>
    <t>Planned date(s)</t>
  </si>
  <si>
    <t>Coverage mapping status</t>
  </si>
  <si>
    <t>Official source URL</t>
  </si>
  <si>
    <t>Notes / practice evidence</t>
  </si>
  <si>
    <t>Engineering Mathematics — Discrete Mathematics</t>
  </si>
  <si>
    <t>Propositional and first-order logic; sets, relations, functions, partial orders and lattices; monoids and groups; graphs (connectivity, matching, colouring); counting, recurrence relations and generating functions.</t>
  </si>
  <si>
    <t>Units 1, 2, 3, 4, 5</t>
  </si>
  <si>
    <t>Completed foundation; diagnostics 25 Oct and 1 Nov 2026</t>
  </si>
  <si>
    <t>Tier 1 — CSE/shared must master</t>
  </si>
  <si>
    <t>Mapped to planned units; mastery unverified</t>
  </si>
  <si>
    <t>Official core mapped to completed foundation. Lagrange's theorem, Euler/Hamiltonian graph details and planarity are not named as must-cover 2027 items; keep optional.</t>
  </si>
  <si>
    <t>Engineering Mathematics — Linear Algebra</t>
  </si>
  <si>
    <t>Matrices, determinants, systems of linear equations, eigenvalues/eigenvectors and LU decomposition.</t>
  </si>
  <si>
    <t>Units 6, 7, 8, 9</t>
  </si>
  <si>
    <t>DA-only extensions such as vector spaces, quadratic forms and SVD are in the foundation checklist but are not required by the CS syllabus line.</t>
  </si>
  <si>
    <t>Engineering Mathematics — Calculus</t>
  </si>
  <si>
    <t>Limits, continuity and differentiability; maxima and minima; mean value theorem; integration.</t>
  </si>
  <si>
    <t>Units 10, 11</t>
  </si>
  <si>
    <t>Mean value theorem and integration are explicitly called out in the official CS PDF.</t>
  </si>
  <si>
    <t>Engineering Mathematics — Probability and Statistics</t>
  </si>
  <si>
    <t>Random variables; uniform, normal, exponential, Poisson and binomial distributions; mean, median, mode, standard deviation; conditional probability and Bayes' theorem.</t>
  </si>
  <si>
    <t>Units 12, 13, 14, 15</t>
  </si>
  <si>
    <t>Use CSE PYQs first; keep DA's more detailed test/distribution subtopics in the DA-specific foundation checklist.</t>
  </si>
  <si>
    <t>Digital Logic — minimization</t>
  </si>
  <si>
    <t>Boolean algebra and minimization by algebraic technique, Karnaugh map and tabular method.</t>
  </si>
  <si>
    <t>Units 58</t>
  </si>
  <si>
    <t>Unit 58: 04 Dec 2026</t>
  </si>
  <si>
    <t>Tier 1 — CSE primary</t>
  </si>
  <si>
    <t>Unit 58 description explicitly includes all three minimization methods.</t>
  </si>
  <si>
    <t>Digital Logic — circuits and number representation</t>
  </si>
  <si>
    <t>Design of combinational and sequential circuits; number representation and arithmetic in fixed-point and floating-point formats.</t>
  </si>
  <si>
    <t>Units 59</t>
  </si>
  <si>
    <t>Unit 59: 05 Dec 2026</t>
  </si>
  <si>
    <t>Unit 59 mapped; test logic design and representation questions separately.</t>
  </si>
  <si>
    <t>Computer Organization and Architecture — instruction/datapath/control</t>
  </si>
  <si>
    <t>Instruction set and addressing modes; ALU design; hardwired and microprogrammed control-unit design.</t>
  </si>
  <si>
    <t>Units 60</t>
  </si>
  <si>
    <t>Unit 60: 07 Dec 2026</t>
  </si>
  <si>
    <t>Unit 60 mapped.</t>
  </si>
  <si>
    <t>Computer Organization and Architecture — memory/I/O/pipeline</t>
  </si>
  <si>
    <t>Memory interfacing and hierarchy performance; cache memory mapping; I/O interface, interrupts and DMA; instruction pipelining and pipeline hazards.</t>
  </si>
  <si>
    <t>Units 61, 62</t>
  </si>
  <si>
    <t>Unit 61: 08 Dec 2026; Unit 62: 09 Dec 2026 to 10 Dec 2026</t>
  </si>
  <si>
    <t>Unit 62 now names memory interfacing/hierarchy and I/O interface explicitly; Unit 61 covers hazards.</t>
  </si>
  <si>
    <t>Programming in C and recursion; arrays, stacks, queues, linked lists, trees, BSTs, binary heaps and graphs.</t>
  </si>
  <si>
    <t>Units 28, 29, 30, 31, 32, 33, 37</t>
  </si>
  <si>
    <t>Unit 28 includes C recursion and Python basics for DA; Unit 29 does C tracing and Python collection tracing. C itself uses static/lexical scope; dynamic scoping is not a C feature.</t>
  </si>
  <si>
    <t>Algorithms — search, sort, hashing and complexity</t>
  </si>
  <si>
    <t>Searching, sorting and hashing; asymptotic worst-case time and space complexity.</t>
  </si>
  <si>
    <t>Units 33, 34, 35</t>
  </si>
  <si>
    <t>Unit 33: 30 Oct 2026; Unit 34: 31 Oct 2026; Unit 35: 02 Nov 2026</t>
  </si>
  <si>
    <t>Unit 33 covers hashing; Unit 34 complexity; Unit 35 search/sorting.</t>
  </si>
  <si>
    <t>Algorithms — design techniques</t>
  </si>
  <si>
    <t>Greedy algorithms, dynamic programming, divide-and-conquer, graph traversals, minimum spanning trees and shortest paths.</t>
  </si>
  <si>
    <t>Units 36, 37, 38, 39</t>
  </si>
  <si>
    <t>Unit 36: 03 Nov 2026; Unit 37: 04 Nov 2026 to 05 Nov 2026; Unit 38: 06 Nov 2026; Unit 39: 07 Nov 2026 to 09 Nov 2026</t>
  </si>
  <si>
    <t>Greedy/MST and dynamic programming receive separate sessions; graph paths are split into two sessions.</t>
  </si>
  <si>
    <t>Theory of Computation — regular languages</t>
  </si>
  <si>
    <t>Regular expressions, finite automata and regular-language pumping lemma.</t>
  </si>
  <si>
    <t>Units 51, 52</t>
  </si>
  <si>
    <t>Unit 51: 25 Nov 2026; Unit 52: 26 Nov 2026</t>
  </si>
  <si>
    <t>Unit 51 finite automata/regular expressions; Unit 52 regular-language properties and pumping lemma.</t>
  </si>
  <si>
    <t>Theory of Computation — context-free languages</t>
  </si>
  <si>
    <t>Context-free grammars, push-down automata and context-free-language pumping lemma.</t>
  </si>
  <si>
    <t>Units 53</t>
  </si>
  <si>
    <t>Unit 53: 27 Nov 2026</t>
  </si>
  <si>
    <t>Unit 53 includes CFG/PDA, ambiguity and pumping lemma.</t>
  </si>
  <si>
    <t>Theory of Computation — Turing machines</t>
  </si>
  <si>
    <t>Turing machines and undecidability.</t>
  </si>
  <si>
    <t>Units 54</t>
  </si>
  <si>
    <t>Unit 54: 28 Nov 2026</t>
  </si>
  <si>
    <t>Use halting/undecidability examples for PYQ practice; Rice's theorem is not an explicit 2027 syllabus item.</t>
  </si>
  <si>
    <t>Compiler Design — lexical analysis/parsing</t>
  </si>
  <si>
    <t>Lexical analysis, parsing and syntax-directed translation.</t>
  </si>
  <si>
    <t>Units 52, 55, 56</t>
  </si>
  <si>
    <t>Unit 52: 26 Nov 2026; Unit 55: 30 Nov 2026 to 01 Dec 2026; Unit 56: 02 Dec 2026</t>
  </si>
  <si>
    <t>Unit 52 links lexical analysis to automata; Unit 55 covers top-down/bottom-up parsers; Unit 56 translation/code generation.</t>
  </si>
  <si>
    <t>Compiler Design — runtime/code/optimization</t>
  </si>
  <si>
    <t>Runtime environments, intermediate code generation, local optimization and data-flow analysis: constant propagation, liveness and common-subexpression elimination.</t>
  </si>
  <si>
    <t>Units 56, 57</t>
  </si>
  <si>
    <t>Unit 56: 02 Dec 2026; Unit 57: 03 Dec 2026</t>
  </si>
  <si>
    <t>All named compiler requirements are explicitly present in Units 56–57.</t>
  </si>
  <si>
    <t>System calls, processes, threads, IPC, concurrency/synchronization, deadlock, CPU and I/O scheduling, memory management, virtual memory and file systems.</t>
  </si>
  <si>
    <t>Units 63, 64, 65, 66, 67</t>
  </si>
  <si>
    <t>Unit 63: 11 Dec 2026; Unit 64: 12 Dec 2026 to 14 Dec 2026; Unit 65: 15 Dec 2026; Unit 66: 16 Dec 2026 to 17 Dec 2026; Unit 67: 18 Dec 2026</t>
  </si>
  <si>
    <t>Unit 67 explicitly names CPU/I/O scheduling scope and disk scheduling practice.</t>
  </si>
  <si>
    <t>ER model; relational model, relational algebra, tuple calculus and SQL; integrity constraints and normal forms; file organization/indexing including B/B+ trees; transactions and concurrency control.</t>
  </si>
  <si>
    <t>Units 43, 44, 45, 46, 47, 48</t>
  </si>
  <si>
    <t>Unit 43: 13 Nov 2026; Unit 44: 14 Nov 2026; Unit 45: 16 Nov 2026 to 17 Nov 2026; Unit 46: 18 Nov 2026 to 19 Nov 2026; Unit 47: 20 Nov 2026; Unit 48: 21 Nov 2026</t>
  </si>
  <si>
    <t>Database core is complete before DA-only data warehousing.</t>
  </si>
  <si>
    <t>Computer Networks — layering, switching, data link</t>
  </si>
  <si>
    <t>Principles of layering; circuit, packet and virtual-circuit switching; performance metrics; error detection, Medium Access Control and Ethernet.</t>
  </si>
  <si>
    <t>Units 68</t>
  </si>
  <si>
    <t>Unit 68: 19 Dec 2026</t>
  </si>
  <si>
    <t>Unit 68 follows the official 2027 wording.</t>
  </si>
  <si>
    <t>Computer Networks — routing, IP, transport and application</t>
  </si>
  <si>
    <t>Distance-vector and link-state routing; IPv4 fragmentation, CIDR, NAT; TCP flow control/congestion control; socket API; DNS and HTTP.</t>
  </si>
  <si>
    <t>Units 69</t>
  </si>
  <si>
    <t>Unit 69: 21 Dec 2026</t>
  </si>
  <si>
    <t>Unit 69 is the densest CSE session; 16 January sectional test decides whether a third session is warranted.</t>
  </si>
  <si>
    <t>Probability and Statistics — probability structure</t>
  </si>
  <si>
    <t>Counting; probability axioms; sample space/events; independent and mutually exclusive events; marginal, conditional and joint probability; Bayes; conditional expectation and variance; mean/median/mode/standard deviation; correlation and covariance.</t>
  </si>
  <si>
    <t>Tier 1 shared + DA-specific details</t>
  </si>
  <si>
    <t>The broader details are in Foundation Subtopics; use 1 November diagnostic to validate.</t>
  </si>
  <si>
    <t>Probability and Statistics — distributions</t>
  </si>
  <si>
    <t>Discrete random variables and PMFs; uniform, Bernoulli, binomial; continuous PDFs; uniform, exponential, Poisson, normal and standard normal; t and chi-squared distributions; CDF and conditional PDF.</t>
  </si>
  <si>
    <t>Units 13, 14, 15, 16</t>
  </si>
  <si>
    <t>Conditional PDF and t/chi-squared distributions are explicitly listed in the foundation checklist.</t>
  </si>
  <si>
    <t>Probability and Statistics — inference</t>
  </si>
  <si>
    <t>Central limit theorem, confidence intervals, z-test, t-test and chi-squared test.</t>
  </si>
  <si>
    <t>Units 16, 17</t>
  </si>
  <si>
    <t>Diagnostic 1 November; weak items go to January repair.</t>
  </si>
  <si>
    <t>Vector spaces/subspaces, linear dependence/independence, projection matrix, orthogonal/idempotent/partition matrices, quadratic forms, systems/Gaussian elimination, eigenvalues, determinants, rank/nullity, projections, LU and SVD.</t>
  </si>
  <si>
    <t>Map the DA-only linear-algebra extensions separately from CS-required matrix topics.</t>
  </si>
  <si>
    <t>Single-variable functions, limits, continuity, differentiability, Taylor series, maxima/minima and single-variable optimization.</t>
  </si>
  <si>
    <t>Diagnostic 25 October/1 November; no multi-variable calculus needed from the official DA wording.</t>
  </si>
  <si>
    <t>Python; stacks, queues, linked lists, trees and hash tables; linear/binary search; selection, bubble and insertion sort; merge sort/quicksort; graph basics, traversals and shortest path.</t>
  </si>
  <si>
    <t>Units 28, 29, 30, 31, 32, 33, 34, 35, 36, 37</t>
  </si>
  <si>
    <t>DA style uses Python tracing and multi-step/NAT/MSQ practice after learning the shared concept.</t>
  </si>
  <si>
    <t>Database Management and Warehousing — core</t>
  </si>
  <si>
    <t>ER/relational models, relational algebra, tuple calculus, SQL, integrity constraints, normal forms, file organization and indexing.</t>
  </si>
  <si>
    <t>Units 43, 44, 45, 46, 47</t>
  </si>
  <si>
    <t>Unit 43: 13 Nov 2026; Unit 44: 14 Nov 2026; Unit 45: 16 Nov 2026 to 17 Nov 2026; Unit 46: 18 Nov 2026 to 19 Nov 2026; Unit 47: 20 Nov 2026</t>
  </si>
  <si>
    <t>Study database foundations once; practise both papers' question styles.</t>
  </si>
  <si>
    <t>Database Management and Warehousing — data preparation</t>
  </si>
  <si>
    <t>Data types; data transformation including normalization, discretization, sampling and compression.</t>
  </si>
  <si>
    <t>Units 49</t>
  </si>
  <si>
    <t>Unit 49: 23 Nov 2026</t>
  </si>
  <si>
    <t>Tier 2 — DA secondary coverage</t>
  </si>
  <si>
    <t>Unit 49; do not displace CSE DB PYQ practice.</t>
  </si>
  <si>
    <t>Database Management and Warehousing — warehouse models</t>
  </si>
  <si>
    <t>Multidimensional data-model schemas, concept hierarchies, measures and their categorization/computations.</t>
  </si>
  <si>
    <t>Units 50</t>
  </si>
  <si>
    <t>Unit 50: 24 Nov 2026</t>
  </si>
  <si>
    <t>Unit 50 follows the database core.</t>
  </si>
  <si>
    <t>Machine Learning — regression and classification</t>
  </si>
  <si>
    <t>Simple and multiple linear regression, ridge regression, logistic regression and k-nearest neighbour.</t>
  </si>
  <si>
    <t>Units 20, 21</t>
  </si>
  <si>
    <t>Unit 20: 24 Dec 2026; Unit 21: 25 Dec 2026</t>
  </si>
  <si>
    <t>The final DA-only content block runs 22 December–4 January.</t>
  </si>
  <si>
    <t>Machine Learning — generative classifiers and SVM</t>
  </si>
  <si>
    <t>Naive Bayes classifier, linear discriminant analysis and support vector machine.</t>
  </si>
  <si>
    <t>Units 22, 23</t>
  </si>
  <si>
    <t>Unit 22: 26 Dec 2026; Unit 23: 28 Dec 2026 to 29 Dec 2026</t>
  </si>
  <si>
    <t>SVM has two sessions; use both conceptual and question-practice time.</t>
  </si>
  <si>
    <t>Machine Learning — trees and model evaluation</t>
  </si>
  <si>
    <t>Decision trees; bias–variance trade-off; leave-one-out and k-fold cross-validation.</t>
  </si>
  <si>
    <t>Units 24, 25</t>
  </si>
  <si>
    <t>Unit 24: 30 Dec 2026; Unit 25: 31 Dec 2026</t>
  </si>
  <si>
    <t>Ensure decision boundaries, entropy/information gain and cross-validation calculations get practice.</t>
  </si>
  <si>
    <t>Machine Learning — neural networks</t>
  </si>
  <si>
    <t>Multi-layer perceptron and feed-forward neural network.</t>
  </si>
  <si>
    <t>Units 26</t>
  </si>
  <si>
    <t>Unit 26: 01 Jan 2027</t>
  </si>
  <si>
    <t>Additional training mechanics are for understanding; prioritise named syllabus requirements.</t>
  </si>
  <si>
    <t>Machine Learning — clustering and dimensionality reduction</t>
  </si>
  <si>
    <t>Clustering algorithms: k-means/k-medoids; hierarchical top-down/bottom-up, single-/multiple-linkage; dimensionality reduction and PCA.</t>
  </si>
  <si>
    <t>Units 27</t>
  </si>
  <si>
    <t>Unit 27: 02 Jan 2027 to 04 Jan 2027</t>
  </si>
  <si>
    <t>Unit 27 is split over two sessions and includes the PCA/SVD connection.</t>
  </si>
  <si>
    <t>AI — search</t>
  </si>
  <si>
    <t>Uninformed, informed and adversarial search.</t>
  </si>
  <si>
    <t>Units 40, 41, 42</t>
  </si>
  <si>
    <t>Unit 40: 10 Nov 2026; Unit 41: 11 Nov 2026; Unit 42: 12 Nov 2026</t>
  </si>
  <si>
    <t>Scheduled immediately after shared graph algorithms.</t>
  </si>
  <si>
    <t>AI — logic</t>
  </si>
  <si>
    <t>Propositional and predicate logic.</t>
  </si>
  <si>
    <t>Units 1, 2</t>
  </si>
  <si>
    <t>Tier 1 shared/foundation</t>
  </si>
  <si>
    <t>Recorded complete; diagnostic and recall still needed.</t>
  </si>
  <si>
    <t>AI — reasoning under uncertainty</t>
  </si>
  <si>
    <t>Conditional-independence representation; exact inference through variable elimination; approximate inference through sampling.</t>
  </si>
  <si>
    <t>Units 18, 19</t>
  </si>
  <si>
    <t>Unit 18: 22 Dec 2026; Unit 19: 23 Dec 2026</t>
  </si>
  <si>
    <t>Scheduled after the CSE systems block; complete by 23 December.</t>
  </si>
  <si>
    <t>General Aptitude is 15 marks in each paper; GATE papers also use MCQ, MSQ and NAT questions and assess recall, comprehension, application and analysis/synthesis.</t>
  </si>
  <si>
    <t>All dates / General Aptitude</t>
  </si>
  <si>
    <t>Daily through 5 Feb 2027</t>
  </si>
  <si>
    <t>Daily baseline</t>
  </si>
  <si>
    <t>Daily 20–30 minutes; practise CSE and DA question styles separately.</t>
  </si>
  <si>
    <t>Purpose</t>
  </si>
  <si>
    <t>CSE primary, DA secondary: how to follow this calendar</t>
  </si>
  <si>
    <t>Tier 1 — CSE/shared must master. CSE-only topics and topics genuinely common to both papers get the strongest practice and repair priority.</t>
  </si>
  <si>
    <t>Tier 2 — DA secondary coverage. DA-only topics must still be completed, but new-content time is capped so they do not displace CSE practice or repair.</t>
  </si>
  <si>
    <t>Calendar integrity</t>
  </si>
  <si>
    <t>Main work</t>
  </si>
  <si>
    <t>Question practice</t>
  </si>
  <si>
    <t>General Aptitude / revision</t>
  </si>
  <si>
    <t>Total target</t>
  </si>
  <si>
    <t>CSE-only topic day</t>
  </si>
  <si>
    <t>3.5–4 h concepts, examples and derivations</t>
  </si>
  <si>
    <t>1.5–2 h CSE previous-year questions; analyse all wrong/guessed answers</t>
  </si>
  <si>
    <t>20–30 min General Aptitude; 30–45 min spaced revision; 20 min foundation recall; 15–20 min mistake log</t>
  </si>
  <si>
    <t>6.5–8 h</t>
  </si>
  <si>
    <t>Do not move on until you can solve representative questions without notes.</t>
  </si>
  <si>
    <t>Shared CSE + DA topic day</t>
  </si>
  <si>
    <t>3–4 h learn once, with one coherent topic stream</t>
  </si>
  <si>
    <t>1.5–2 h CSE PYQs first; then 30–45 min DA-style variants (Python/NAT/MSQ/multi-step) only where relevant</t>
  </si>
  <si>
    <t>Learn common concept once; practise the two papers' question styles separately.</t>
  </si>
  <si>
    <t>DA-only topic day</t>
  </si>
  <si>
    <t>3–3.5 h DA concepts and worked examples</t>
  </si>
  <si>
    <t>60–90 min DA PYQs; then 1.5 h CSE-primary recall/PYQs from completed Units 1–17</t>
  </si>
  <si>
    <t>20–30 min General Aptitude; 30 min spaced revision; 15–20 min mistake log</t>
  </si>
  <si>
    <t>6–7.5 h</t>
  </si>
  <si>
    <t>Complete the DA syllabus, but do not let DA-only new content consume the whole day.</t>
  </si>
  <si>
    <t>Sunday catch-up</t>
  </si>
  <si>
    <t>No new topic. Finish only the current incomplete chapter/subtopics; keep sequence intact.</t>
  </si>
  <si>
    <t>60–90 min sectional quiz when topics are covered; analyse errors</t>
  </si>
  <si>
    <t>General Aptitude, formula recall and mistake log</t>
  </si>
  <si>
    <t>3.5–6 h</t>
  </si>
  <si>
    <t>No unrelated new chapters. Official-paper Sundays are explicit exceptions.</t>
  </si>
  <si>
    <t>Official paper day</t>
  </si>
  <si>
    <t>Attempt the authentic paper for 180 minutes under exam conditions</t>
  </si>
  <si>
    <t>Spend 1.5–2.5 h on same-day analysis: wrong, guessed, unattempted, time sink and topic</t>
  </si>
  <si>
    <t>Short GA/recovery only if time allows</t>
  </si>
  <si>
    <t>6–7 h</t>
  </si>
  <si>
    <t>Use only authentic paper/answer key. Paper attempts are planning targets, not official appointments.</t>
  </si>
  <si>
    <t>Target the top 1–3 repeated mistakes from the last test</t>
  </si>
  <si>
    <t>Re-solve wrong questions without solutions; then take a short retest</t>
  </si>
  <si>
    <t>20–30 min General Aptitude; spaced review</t>
  </si>
  <si>
    <t>5–7 h</t>
  </si>
  <si>
    <t>Repair known weaknesses; don't start an unrelated chapter.</t>
  </si>
  <si>
    <t>Minimum viable day</t>
  </si>
  <si>
    <t>2 h concept and worked examples</t>
  </si>
  <si>
    <t>1 h high-priority questions</t>
  </si>
  <si>
    <t>30 min spaced revision; include 15–20 min General Aptitude if possible</t>
  </si>
  <si>
    <t>3.5 h</t>
  </si>
  <si>
    <t>Preserve continuity. Carry remaining questions to the next catch-up slot.</t>
  </si>
  <si>
    <t>Sequence rules</t>
  </si>
  <si>
    <t>1. Finish each split chapter's Session A before Session B; 2. shared topics are learned once; 3. CSE PYQs come first on shared topics; 4. DA-only practice never replaces CSE repair; 5. diagnose score below 70% and assign a repair.</t>
  </si>
  <si>
    <t>DA paper plan</t>
  </si>
  <si>
    <t>10 Jan: DA 2024; 17 Jan: DA 2025; 24 Jan: DA 2026. Each occurs after the last DA-specific content block ends on 4 Jan. Verify paper and key authenticity before attempting.</t>
  </si>
  <si>
    <t>16 Jan: timed Networks sectional test. Add a third Networks session only if score &lt;70%, the test shows a material topic gap, or Unit 69 is incomplete. Borrow from 18 or 19 Jan; do not add a date.</t>
  </si>
  <si>
    <t>Official syllabus sources</t>
  </si>
  <si>
    <t>Official GATE 2027 syllabus page / paper pattern</t>
  </si>
  <si>
    <t>Programming 1: C and Python Fundamentals — Session A (C)</t>
  </si>
  <si>
    <t>Computer Science (C language): C variables, control flow, functions, recursion
Session focus: Part A (23 Oct, plan start): C fundamentals - data types, operators, control flow, functions and recursion; CSE PYQs first.</t>
  </si>
  <si>
    <t>Programming 1: C and Python Fundamentals — Session B (Python)</t>
  </si>
  <si>
    <t>Data Science and Artificial Intelligence only: Python syntax, data types, control structures, functions
Session focus: Part B (24 Oct): Python fundamentals, DA-style PYQs, plus C recursion/tracing revision from Session A.</t>
  </si>
  <si>
    <t>Units 1–17 (logic, discrete mathematics, linear algebra, calculus, probability and statistics) are recorded as completed, as stated on 23 October 2026. The revised calendar starts on 23 October (Programming 1 split into Session A on 23 Oct and Session B on 24 Oct) with CSE/shared programming and data structures, not the DA-only Machine Learning block.</t>
  </si>
  <si>
    <t>The calendar now runs from 23 October 2026 to 5 February 2027; all dates from 24 October onward are unchanged. Sundays in the content phase remain catch-up/diagnostic days. The scheduled official DA papers are moved to 10, 17 and 24 January so all DA content is complete first.</t>
  </si>
  <si>
    <t>Units 28–33, 37 (scheduled 23 October–13 November)</t>
  </si>
  <si>
    <t>Units 28–37 (scheduled 23 October–21 November)</t>
  </si>
  <si>
    <t>Unit 28: 23 Oct 2026 to 24 Oct 2026; Unit 29: 26 Oct 2026; Unit 30: 27 Oct 2026; Unit 31: 28 Oct 2026; Unit 32: 29 Oct 2026; Unit 33: 30 Oct 2026; Unit 37: 04 Nov 2026 to 05 Nov 2026</t>
  </si>
  <si>
    <t>Unit 28: 23 Oct 2026 to 24 Oct 2026; Unit 29: 26 Oct 2026; Unit 30: 27 Oct 2026; Unit 31: 28 Oct 2026; Unit 32: 29 Oct 2026; Unit 33: 30 Oct 2026; Unit 34: 31 Oct 2026; Unit 35: 02 Nov 2026; Unit 36: 03 Nov 2026; Unit 37: 04 Nov 2026 to 05 Nov 2026</t>
  </si>
  <si>
    <t>The date rows (23 Oct added as Session A of Unit 28; 24 Oct onward unchanged)s and other study-session slots are unchanged (63 slots in total). Phase date windows are unchanged. Topics have been re-sequenced inside those slots to put CSE/shared content first while preserving topic prerequisites.</t>
  </si>
  <si>
    <t>Plan start moved to 23 Oct 2026</t>
  </si>
  <si>
    <t>Added a 23 Oct 2026 (today) row and split Unit 28 into Session A (C) on 23 Oct and Session B (Python) on 24 Oct. All dates, units and sessions from 25 Oct onward are unchanged; Units 1-17 (Completed Foundation) and all completion fields are untouched. Study-session slots: 63.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</si>
</sst>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 mmm\ yyyy"/>
  </numFmts>
  <fonts count="15" x14ac:knownFonts="1">
    <font>
      <sz val="11"/>
      <color theme="1"/>
      <name val="Calibri"/>
    </font>
    <font>
      <sz val="10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7F6000"/>
      <name val="Arial"/>
    </font>
    <font>
      <b/>
      <sz val="10"/>
      <color rgb="FF404040"/>
      <name val="Arial"/>
    </font>
    <font>
      <b/>
      <sz val="10"/>
      <name val="Arial"/>
    </font>
    <font>
      <sz val="10"/>
      <color rgb="FF0000FF"/>
      <name val="Arial"/>
    </font>
    <font>
      <i/>
      <sz val="9"/>
      <name val="Arial"/>
    </font>
    <font>
      <b/>
      <sz val="11"/>
      <color rgb="FFFFFFFF"/>
      <name val="Calibri"/>
    </font>
    <font>
      <b/>
      <sz val="10"/>
      <color rgb="FF7F1D1D"/>
      <name val="Arial"/>
    </font>
    <font>
      <b/>
      <sz val="10"/>
      <color rgb="FF4C3575"/>
      <name val="Arial"/>
    </font>
    <font>
      <b/>
      <sz val="14"/>
      <color rgb="FFFFFFFF"/>
      <name val="Calibri"/>
    </font>
    <font>
      <b/>
      <sz val="11"/>
      <color rgb="FF1F1F1F"/>
      <name val="Calibri"/>
    </font>
    <font>
      <i/>
      <sz val="9"/>
      <color rgb="FF666666"/>
      <name val="Arial"/>
    </font>
  </fonts>
  <fills count="2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F0D9"/>
      </patternFill>
    </fill>
    <fill>
      <patternFill patternType="solid">
        <fgColor rgb="FFFFE699"/>
      </patternFill>
    </fill>
    <fill>
      <patternFill patternType="solid">
        <fgColor rgb="FFFFF9DB"/>
      </patternFill>
    </fill>
    <fill>
      <patternFill patternType="solid">
        <fgColor rgb="FFE4DFEC"/>
      </patternFill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FFEDEDED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E7E6E6"/>
      </patternFill>
    </fill>
    <fill>
      <patternFill patternType="solid">
        <fgColor rgb="FFE4DFEC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top" wrapText="1"/>
    </xf>
    <xf numFmtId="0" fontId="6" fillId="0" borderId="0" xfId="0" applyFont="1"/>
    <xf numFmtId="0" fontId="2" fillId="2" borderId="1" xfId="0" applyFont="1" applyFill="1" applyBorder="1" applyAlignment="1">
      <alignment vertical="center" wrapText="1"/>
    </xf>
    <xf numFmtId="164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vertical="top" wrapText="1"/>
    </xf>
    <xf numFmtId="9" fontId="3" fillId="5" borderId="1" xfId="0" applyNumberFormat="1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/>
    <xf numFmtId="164" fontId="3" fillId="0" borderId="1" xfId="0" applyNumberFormat="1" applyFont="1" applyBorder="1"/>
    <xf numFmtId="9" fontId="3" fillId="0" borderId="1" xfId="0" applyNumberFormat="1" applyFont="1" applyBorder="1"/>
    <xf numFmtId="0" fontId="6" fillId="0" borderId="1" xfId="0" applyFont="1" applyBorder="1"/>
    <xf numFmtId="9" fontId="6" fillId="0" borderId="1" xfId="0" applyNumberFormat="1" applyFont="1" applyBorder="1"/>
    <xf numFmtId="0" fontId="3" fillId="0" borderId="0" xfId="0" applyFont="1"/>
    <xf numFmtId="164" fontId="7" fillId="0" borderId="0" xfId="0" applyNumberFormat="1" applyFont="1"/>
    <xf numFmtId="0" fontId="8" fillId="0" borderId="0" xfId="0" applyFont="1"/>
    <xf numFmtId="0" fontId="3" fillId="5" borderId="1" xfId="0" applyFont="1" applyFill="1" applyBorder="1"/>
    <xf numFmtId="164" fontId="3" fillId="5" borderId="1" xfId="0" applyNumberFormat="1" applyFont="1" applyFill="1" applyBorder="1"/>
    <xf numFmtId="1" fontId="1" fillId="0" borderId="0" xfId="0" applyNumberFormat="1" applyFont="1"/>
    <xf numFmtId="0" fontId="1" fillId="0" borderId="1" xfId="0" applyFont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2" fillId="13" borderId="1" xfId="0" applyFont="1" applyFill="1" applyBorder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0" fillId="14" borderId="0" xfId="0" applyFill="1" applyAlignment="1">
      <alignment vertical="top" wrapText="1"/>
    </xf>
    <xf numFmtId="0" fontId="0" fillId="15" borderId="0" xfId="0" applyFill="1" applyAlignment="1">
      <alignment vertical="top" wrapText="1"/>
    </xf>
    <xf numFmtId="0" fontId="0" fillId="16" borderId="0" xfId="0" applyFill="1" applyAlignment="1">
      <alignment vertical="top" wrapText="1"/>
    </xf>
    <xf numFmtId="0" fontId="10" fillId="17" borderId="1" xfId="0" applyFont="1" applyFill="1" applyBorder="1" applyAlignment="1">
      <alignment vertical="top" wrapText="1"/>
    </xf>
    <xf numFmtId="0" fontId="5" fillId="18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vertical="top" wrapText="1"/>
    </xf>
    <xf numFmtId="0" fontId="11" fillId="19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vertical="top" wrapText="1"/>
    </xf>
    <xf numFmtId="0" fontId="13" fillId="21" borderId="0" xfId="0" applyFont="1" applyFill="1" applyAlignment="1">
      <alignment vertical="top" wrapText="1"/>
    </xf>
    <xf numFmtId="0" fontId="13" fillId="16" borderId="0" xfId="0" applyFont="1" applyFill="1" applyAlignment="1">
      <alignment vertical="top" wrapText="1"/>
    </xf>
    <xf numFmtId="0" fontId="2" fillId="13" borderId="0" xfId="0" applyFont="1" applyFill="1" applyAlignment="1">
      <alignment horizontal="center" vertical="center" wrapText="1"/>
    </xf>
    <xf numFmtId="0" fontId="6" fillId="0" borderId="0" xfId="0" applyFont="1"/>
    <xf numFmtId="0" fontId="14" fillId="0" borderId="0" xfId="0" applyFont="1" applyAlignment="1">
      <alignment wrapText="1"/>
    </xf>
    <xf numFmtId="0" fontId="0" fillId="0" borderId="0" xfId="0"/>
    <xf numFmtId="0" fontId="12" fillId="20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6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ont>
        <b/>
        <color rgb="FF006100"/>
        <name val="Arial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EDEDED"/>
      <rgbColor rgb="FF993366"/>
      <rgbColor rgb="FFFFF9DB"/>
      <rgbColor rgb="FFDDEBF7"/>
      <rgbColor rgb="FF660066"/>
      <rgbColor rgb="FFFF8080"/>
      <rgbColor rgb="FF0066CC"/>
      <rgbColor rgb="FFD9C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E699"/>
      <rgbColor rgb="FFD9D9D9"/>
      <rgbColor rgb="FFFCE4D6"/>
      <rgbColor rgb="FFE4DFEC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F1F63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7"/>
  <sheetViews>
    <sheetView tabSelected="1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1" customWidth="1"/>
    <col min="3" max="3" width="17" customWidth="1"/>
    <col min="4" max="4" width="30" customWidth="1"/>
    <col min="5" max="5" width="18" customWidth="1"/>
    <col min="6" max="6" width="48" customWidth="1"/>
    <col min="7" max="7" width="75" customWidth="1"/>
    <col min="8" max="8" width="39" customWidth="1"/>
    <col min="9" max="9" width="28" customWidth="1"/>
    <col min="10" max="10" width="84" customWidth="1"/>
    <col min="11" max="11" width="10" customWidth="1"/>
    <col min="12" max="12" width="12" customWidth="1"/>
    <col min="13" max="13" width="10" customWidth="1"/>
    <col min="14" max="14" width="14" customWidth="1"/>
    <col min="15" max="15" width="19" customWidth="1"/>
    <col min="16" max="16" width="9" customWidth="1"/>
    <col min="17" max="17" width="14" customWidth="1"/>
    <col min="18" max="18" width="34" customWidth="1"/>
  </cols>
  <sheetData>
    <row r="1" spans="1:18" ht="31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0" t="s">
        <v>200</v>
      </c>
      <c r="J1" s="30" t="s">
        <v>201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</row>
    <row r="2" spans="1:18" ht="67.95" customHeight="1" x14ac:dyDescent="0.3">
      <c r="A2" s="4">
        <v>46318</v>
      </c>
      <c r="B2" s="5" t="s">
        <v>235</v>
      </c>
      <c r="C2" s="6" t="s">
        <v>203</v>
      </c>
      <c r="D2" s="5" t="s">
        <v>204</v>
      </c>
      <c r="E2" s="5" t="s">
        <v>205</v>
      </c>
      <c r="F2" s="27" t="s">
        <v>870</v>
      </c>
      <c r="G2" s="39" t="s">
        <v>871</v>
      </c>
      <c r="H2" s="5" t="s">
        <v>206</v>
      </c>
      <c r="I2" s="35" t="s">
        <v>207</v>
      </c>
      <c r="J2" s="27" t="s">
        <v>208</v>
      </c>
      <c r="K2" s="7" t="s">
        <v>209</v>
      </c>
      <c r="L2" s="7" t="s">
        <v>209</v>
      </c>
      <c r="M2" s="7" t="s">
        <v>209</v>
      </c>
      <c r="N2" s="7" t="s">
        <v>209</v>
      </c>
      <c r="O2" s="5" t="str">
        <f t="shared" ref="O2:O34" si="0">IF(COUNTIF(K2:N2,"Yes")=4,"Complete","Not yet complete")</f>
        <v>Not yet complete</v>
      </c>
      <c r="P2" s="8"/>
      <c r="Q2" s="9"/>
      <c r="R2" s="8"/>
    </row>
    <row r="3" spans="1:18" ht="67.95" customHeight="1" x14ac:dyDescent="0.3">
      <c r="A3" s="4">
        <v>46319</v>
      </c>
      <c r="B3" s="5" t="s">
        <v>202</v>
      </c>
      <c r="C3" s="6" t="s">
        <v>203</v>
      </c>
      <c r="D3" s="5" t="s">
        <v>204</v>
      </c>
      <c r="E3" s="5" t="s">
        <v>205</v>
      </c>
      <c r="F3" s="27" t="s">
        <v>872</v>
      </c>
      <c r="G3" s="39" t="s">
        <v>873</v>
      </c>
      <c r="H3" s="5" t="s">
        <v>206</v>
      </c>
      <c r="I3" s="35" t="s">
        <v>207</v>
      </c>
      <c r="J3" s="27" t="s">
        <v>208</v>
      </c>
      <c r="K3" s="7" t="s">
        <v>209</v>
      </c>
      <c r="L3" s="7" t="s">
        <v>209</v>
      </c>
      <c r="M3" s="7" t="s">
        <v>209</v>
      </c>
      <c r="N3" s="7" t="s">
        <v>209</v>
      </c>
      <c r="O3" s="5" t="str">
        <f t="shared" ref="O3" si="1">IF(COUNTIF(K3:N3,"Yes")=4,"Complete","Not yet complete")</f>
        <v>Not yet complete</v>
      </c>
      <c r="P3" s="8"/>
      <c r="Q3" s="9"/>
      <c r="R3" s="8"/>
    </row>
    <row r="4" spans="1:18" ht="67.95" customHeight="1" x14ac:dyDescent="0.3">
      <c r="A4" s="4">
        <v>46320</v>
      </c>
      <c r="B4" s="5" t="s">
        <v>210</v>
      </c>
      <c r="C4" s="10" t="s">
        <v>211</v>
      </c>
      <c r="D4" s="5" t="s">
        <v>22</v>
      </c>
      <c r="E4" s="5" t="s">
        <v>212</v>
      </c>
      <c r="F4" s="27" t="s">
        <v>213</v>
      </c>
      <c r="G4" s="40" t="s">
        <v>214</v>
      </c>
      <c r="H4" s="5" t="s">
        <v>57</v>
      </c>
      <c r="I4" s="36" t="s">
        <v>215</v>
      </c>
      <c r="J4" s="27" t="s">
        <v>216</v>
      </c>
      <c r="K4" s="7" t="s">
        <v>209</v>
      </c>
      <c r="L4" s="7" t="s">
        <v>209</v>
      </c>
      <c r="M4" s="7" t="s">
        <v>209</v>
      </c>
      <c r="N4" s="7" t="s">
        <v>209</v>
      </c>
      <c r="O4" s="5" t="str">
        <f t="shared" si="0"/>
        <v>Not yet complete</v>
      </c>
      <c r="P4" s="8"/>
      <c r="Q4" s="9"/>
      <c r="R4" s="8"/>
    </row>
    <row r="5" spans="1:18" ht="67.95" customHeight="1" x14ac:dyDescent="0.3">
      <c r="A5" s="4">
        <v>46321</v>
      </c>
      <c r="B5" s="5" t="s">
        <v>217</v>
      </c>
      <c r="C5" s="6" t="s">
        <v>203</v>
      </c>
      <c r="D5" s="5" t="s">
        <v>204</v>
      </c>
      <c r="E5" s="5" t="s">
        <v>218</v>
      </c>
      <c r="F5" s="27" t="s">
        <v>219</v>
      </c>
      <c r="G5" s="39" t="s">
        <v>220</v>
      </c>
      <c r="H5" s="5" t="s">
        <v>206</v>
      </c>
      <c r="I5" s="35" t="s">
        <v>207</v>
      </c>
      <c r="J5" s="27" t="s">
        <v>208</v>
      </c>
      <c r="K5" s="7" t="s">
        <v>209</v>
      </c>
      <c r="L5" s="7" t="s">
        <v>209</v>
      </c>
      <c r="M5" s="7" t="s">
        <v>209</v>
      </c>
      <c r="N5" s="7" t="s">
        <v>209</v>
      </c>
      <c r="O5" s="5" t="str">
        <f t="shared" si="0"/>
        <v>Not yet complete</v>
      </c>
      <c r="P5" s="8"/>
      <c r="Q5" s="9"/>
      <c r="R5" s="8"/>
    </row>
    <row r="6" spans="1:18" ht="67.95" customHeight="1" x14ac:dyDescent="0.3">
      <c r="A6" s="4">
        <v>46322</v>
      </c>
      <c r="B6" s="5" t="s">
        <v>221</v>
      </c>
      <c r="C6" s="6" t="s">
        <v>203</v>
      </c>
      <c r="D6" s="5" t="s">
        <v>204</v>
      </c>
      <c r="E6" s="5" t="s">
        <v>222</v>
      </c>
      <c r="F6" s="27" t="s">
        <v>223</v>
      </c>
      <c r="G6" s="41" t="s">
        <v>224</v>
      </c>
      <c r="H6" s="5" t="s">
        <v>225</v>
      </c>
      <c r="I6" s="35" t="s">
        <v>207</v>
      </c>
      <c r="J6" s="27" t="s">
        <v>208</v>
      </c>
      <c r="K6" s="7" t="s">
        <v>209</v>
      </c>
      <c r="L6" s="7" t="s">
        <v>209</v>
      </c>
      <c r="M6" s="7" t="s">
        <v>209</v>
      </c>
      <c r="N6" s="7" t="s">
        <v>209</v>
      </c>
      <c r="O6" s="5" t="str">
        <f t="shared" si="0"/>
        <v>Not yet complete</v>
      </c>
      <c r="P6" s="8"/>
      <c r="Q6" s="9"/>
      <c r="R6" s="8"/>
    </row>
    <row r="7" spans="1:18" ht="67.95" customHeight="1" x14ac:dyDescent="0.3">
      <c r="A7" s="4">
        <v>46323</v>
      </c>
      <c r="B7" s="5" t="s">
        <v>226</v>
      </c>
      <c r="C7" s="6" t="s">
        <v>203</v>
      </c>
      <c r="D7" s="5" t="s">
        <v>204</v>
      </c>
      <c r="E7" s="5" t="s">
        <v>227</v>
      </c>
      <c r="F7" s="27" t="s">
        <v>228</v>
      </c>
      <c r="G7" s="41" t="s">
        <v>229</v>
      </c>
      <c r="H7" s="5" t="s">
        <v>225</v>
      </c>
      <c r="I7" s="35" t="s">
        <v>207</v>
      </c>
      <c r="J7" s="27" t="s">
        <v>208</v>
      </c>
      <c r="K7" s="7" t="s">
        <v>209</v>
      </c>
      <c r="L7" s="7" t="s">
        <v>209</v>
      </c>
      <c r="M7" s="7" t="s">
        <v>209</v>
      </c>
      <c r="N7" s="7" t="s">
        <v>209</v>
      </c>
      <c r="O7" s="5" t="str">
        <f t="shared" si="0"/>
        <v>Not yet complete</v>
      </c>
      <c r="P7" s="8"/>
      <c r="Q7" s="9"/>
      <c r="R7" s="8"/>
    </row>
    <row r="8" spans="1:18" ht="67.95" customHeight="1" x14ac:dyDescent="0.3">
      <c r="A8" s="4">
        <v>46324</v>
      </c>
      <c r="B8" s="5" t="s">
        <v>230</v>
      </c>
      <c r="C8" s="6" t="s">
        <v>203</v>
      </c>
      <c r="D8" s="5" t="s">
        <v>204</v>
      </c>
      <c r="E8" s="5" t="s">
        <v>231</v>
      </c>
      <c r="F8" s="27" t="s">
        <v>232</v>
      </c>
      <c r="G8" s="41" t="s">
        <v>233</v>
      </c>
      <c r="H8" s="5" t="s">
        <v>234</v>
      </c>
      <c r="I8" s="35" t="s">
        <v>207</v>
      </c>
      <c r="J8" s="27" t="s">
        <v>208</v>
      </c>
      <c r="K8" s="7" t="s">
        <v>209</v>
      </c>
      <c r="L8" s="7" t="s">
        <v>209</v>
      </c>
      <c r="M8" s="7" t="s">
        <v>209</v>
      </c>
      <c r="N8" s="7" t="s">
        <v>209</v>
      </c>
      <c r="O8" s="5" t="str">
        <f t="shared" si="0"/>
        <v>Not yet complete</v>
      </c>
      <c r="P8" s="8"/>
      <c r="Q8" s="9"/>
      <c r="R8" s="8"/>
    </row>
    <row r="9" spans="1:18" ht="67.95" customHeight="1" x14ac:dyDescent="0.3">
      <c r="A9" s="4">
        <v>46325</v>
      </c>
      <c r="B9" s="5" t="s">
        <v>235</v>
      </c>
      <c r="C9" s="6" t="s">
        <v>203</v>
      </c>
      <c r="D9" s="5" t="s">
        <v>204</v>
      </c>
      <c r="E9" s="5" t="s">
        <v>236</v>
      </c>
      <c r="F9" s="27" t="s">
        <v>237</v>
      </c>
      <c r="G9" s="41" t="s">
        <v>238</v>
      </c>
      <c r="H9" s="5" t="s">
        <v>225</v>
      </c>
      <c r="I9" s="35" t="s">
        <v>207</v>
      </c>
      <c r="J9" s="27" t="s">
        <v>208</v>
      </c>
      <c r="K9" s="7" t="s">
        <v>209</v>
      </c>
      <c r="L9" s="7" t="s">
        <v>209</v>
      </c>
      <c r="M9" s="7" t="s">
        <v>209</v>
      </c>
      <c r="N9" s="7" t="s">
        <v>209</v>
      </c>
      <c r="O9" s="5" t="str">
        <f t="shared" si="0"/>
        <v>Not yet complete</v>
      </c>
      <c r="P9" s="8"/>
      <c r="Q9" s="9"/>
      <c r="R9" s="8"/>
    </row>
    <row r="10" spans="1:18" ht="67.95" customHeight="1" x14ac:dyDescent="0.3">
      <c r="A10" s="4">
        <v>46326</v>
      </c>
      <c r="B10" s="5" t="s">
        <v>202</v>
      </c>
      <c r="C10" s="6" t="s">
        <v>203</v>
      </c>
      <c r="D10" s="5" t="s">
        <v>204</v>
      </c>
      <c r="E10" s="5" t="s">
        <v>239</v>
      </c>
      <c r="F10" s="27" t="s">
        <v>240</v>
      </c>
      <c r="G10" s="41" t="s">
        <v>241</v>
      </c>
      <c r="H10" s="5" t="s">
        <v>234</v>
      </c>
      <c r="I10" s="35" t="s">
        <v>207</v>
      </c>
      <c r="J10" s="27" t="s">
        <v>208</v>
      </c>
      <c r="K10" s="7" t="s">
        <v>209</v>
      </c>
      <c r="L10" s="7" t="s">
        <v>209</v>
      </c>
      <c r="M10" s="7" t="s">
        <v>209</v>
      </c>
      <c r="N10" s="7" t="s">
        <v>209</v>
      </c>
      <c r="O10" s="5" t="str">
        <f t="shared" si="0"/>
        <v>Not yet complete</v>
      </c>
      <c r="P10" s="8"/>
      <c r="Q10" s="9"/>
      <c r="R10" s="8"/>
    </row>
    <row r="11" spans="1:18" ht="67.95" customHeight="1" x14ac:dyDescent="0.3">
      <c r="A11" s="4">
        <v>46327</v>
      </c>
      <c r="B11" s="5" t="s">
        <v>210</v>
      </c>
      <c r="C11" s="10" t="s">
        <v>211</v>
      </c>
      <c r="D11" s="5" t="s">
        <v>22</v>
      </c>
      <c r="E11" s="5" t="s">
        <v>242</v>
      </c>
      <c r="F11" s="27" t="s">
        <v>243</v>
      </c>
      <c r="G11" s="40" t="s">
        <v>244</v>
      </c>
      <c r="H11" s="5" t="s">
        <v>57</v>
      </c>
      <c r="I11" s="36" t="s">
        <v>215</v>
      </c>
      <c r="J11" s="27" t="s">
        <v>216</v>
      </c>
      <c r="K11" s="7" t="s">
        <v>209</v>
      </c>
      <c r="L11" s="7" t="s">
        <v>209</v>
      </c>
      <c r="M11" s="7" t="s">
        <v>209</v>
      </c>
      <c r="N11" s="7" t="s">
        <v>209</v>
      </c>
      <c r="O11" s="5" t="str">
        <f t="shared" si="0"/>
        <v>Not yet complete</v>
      </c>
      <c r="P11" s="8"/>
      <c r="Q11" s="9"/>
      <c r="R11" s="8"/>
    </row>
    <row r="12" spans="1:18" ht="67.95" customHeight="1" x14ac:dyDescent="0.3">
      <c r="A12" s="4">
        <v>46328</v>
      </c>
      <c r="B12" s="5" t="s">
        <v>217</v>
      </c>
      <c r="C12" s="6" t="s">
        <v>203</v>
      </c>
      <c r="D12" s="5" t="s">
        <v>204</v>
      </c>
      <c r="E12" s="5" t="s">
        <v>245</v>
      </c>
      <c r="F12" s="27" t="s">
        <v>246</v>
      </c>
      <c r="G12" s="41" t="s">
        <v>247</v>
      </c>
      <c r="H12" s="5" t="s">
        <v>225</v>
      </c>
      <c r="I12" s="35" t="s">
        <v>207</v>
      </c>
      <c r="J12" s="27" t="s">
        <v>208</v>
      </c>
      <c r="K12" s="7" t="s">
        <v>209</v>
      </c>
      <c r="L12" s="7" t="s">
        <v>209</v>
      </c>
      <c r="M12" s="7" t="s">
        <v>209</v>
      </c>
      <c r="N12" s="7" t="s">
        <v>209</v>
      </c>
      <c r="O12" s="5" t="str">
        <f t="shared" si="0"/>
        <v>Not yet complete</v>
      </c>
      <c r="P12" s="8"/>
      <c r="Q12" s="9"/>
      <c r="R12" s="8"/>
    </row>
    <row r="13" spans="1:18" ht="67.95" customHeight="1" x14ac:dyDescent="0.3">
      <c r="A13" s="4">
        <v>46329</v>
      </c>
      <c r="B13" s="5" t="s">
        <v>221</v>
      </c>
      <c r="C13" s="6" t="s">
        <v>203</v>
      </c>
      <c r="D13" s="5" t="s">
        <v>204</v>
      </c>
      <c r="E13" s="5" t="s">
        <v>248</v>
      </c>
      <c r="F13" s="27" t="s">
        <v>249</v>
      </c>
      <c r="G13" s="41" t="s">
        <v>250</v>
      </c>
      <c r="H13" s="5" t="s">
        <v>234</v>
      </c>
      <c r="I13" s="35" t="s">
        <v>207</v>
      </c>
      <c r="J13" s="27" t="s">
        <v>208</v>
      </c>
      <c r="K13" s="7" t="s">
        <v>209</v>
      </c>
      <c r="L13" s="7" t="s">
        <v>209</v>
      </c>
      <c r="M13" s="7" t="s">
        <v>209</v>
      </c>
      <c r="N13" s="7" t="s">
        <v>209</v>
      </c>
      <c r="O13" s="5" t="str">
        <f t="shared" si="0"/>
        <v>Not yet complete</v>
      </c>
      <c r="P13" s="8"/>
      <c r="Q13" s="9"/>
      <c r="R13" s="8"/>
    </row>
    <row r="14" spans="1:18" ht="67.95" customHeight="1" x14ac:dyDescent="0.3">
      <c r="A14" s="4">
        <v>46330</v>
      </c>
      <c r="B14" s="5" t="s">
        <v>226</v>
      </c>
      <c r="C14" s="6" t="s">
        <v>203</v>
      </c>
      <c r="D14" s="5" t="s">
        <v>204</v>
      </c>
      <c r="E14" s="5" t="s">
        <v>251</v>
      </c>
      <c r="F14" s="27" t="s">
        <v>252</v>
      </c>
      <c r="G14" s="39" t="s">
        <v>253</v>
      </c>
      <c r="H14" s="5" t="s">
        <v>234</v>
      </c>
      <c r="I14" s="35" t="s">
        <v>207</v>
      </c>
      <c r="J14" s="27" t="s">
        <v>208</v>
      </c>
      <c r="K14" s="7" t="s">
        <v>209</v>
      </c>
      <c r="L14" s="7" t="s">
        <v>209</v>
      </c>
      <c r="M14" s="7" t="s">
        <v>209</v>
      </c>
      <c r="N14" s="7" t="s">
        <v>209</v>
      </c>
      <c r="O14" s="5" t="str">
        <f t="shared" si="0"/>
        <v>Not yet complete</v>
      </c>
      <c r="P14" s="8"/>
      <c r="Q14" s="9"/>
      <c r="R14" s="8"/>
    </row>
    <row r="15" spans="1:18" ht="67.95" customHeight="1" x14ac:dyDescent="0.3">
      <c r="A15" s="4">
        <v>46331</v>
      </c>
      <c r="B15" s="5" t="s">
        <v>230</v>
      </c>
      <c r="C15" s="6" t="s">
        <v>203</v>
      </c>
      <c r="D15" s="5" t="s">
        <v>204</v>
      </c>
      <c r="E15" s="5" t="s">
        <v>251</v>
      </c>
      <c r="F15" s="27" t="s">
        <v>254</v>
      </c>
      <c r="G15" s="41" t="s">
        <v>255</v>
      </c>
      <c r="H15" s="5" t="s">
        <v>234</v>
      </c>
      <c r="I15" s="35" t="s">
        <v>207</v>
      </c>
      <c r="J15" s="27" t="s">
        <v>208</v>
      </c>
      <c r="K15" s="7" t="s">
        <v>209</v>
      </c>
      <c r="L15" s="7" t="s">
        <v>209</v>
      </c>
      <c r="M15" s="7" t="s">
        <v>209</v>
      </c>
      <c r="N15" s="7" t="s">
        <v>209</v>
      </c>
      <c r="O15" s="5" t="str">
        <f t="shared" si="0"/>
        <v>Not yet complete</v>
      </c>
      <c r="P15" s="8"/>
      <c r="Q15" s="9"/>
      <c r="R15" s="8"/>
    </row>
    <row r="16" spans="1:18" ht="67.95" customHeight="1" x14ac:dyDescent="0.3">
      <c r="A16" s="4">
        <v>46332</v>
      </c>
      <c r="B16" s="5" t="s">
        <v>235</v>
      </c>
      <c r="C16" s="6" t="s">
        <v>203</v>
      </c>
      <c r="D16" s="5" t="s">
        <v>204</v>
      </c>
      <c r="E16" s="5" t="s">
        <v>256</v>
      </c>
      <c r="F16" s="27" t="s">
        <v>257</v>
      </c>
      <c r="G16" s="41" t="s">
        <v>258</v>
      </c>
      <c r="H16" s="5" t="s">
        <v>63</v>
      </c>
      <c r="I16" s="35" t="s">
        <v>207</v>
      </c>
      <c r="J16" s="27" t="s">
        <v>259</v>
      </c>
      <c r="K16" s="7" t="s">
        <v>209</v>
      </c>
      <c r="L16" s="7" t="s">
        <v>209</v>
      </c>
      <c r="M16" s="7" t="s">
        <v>209</v>
      </c>
      <c r="N16" s="7" t="s">
        <v>209</v>
      </c>
      <c r="O16" s="5" t="str">
        <f t="shared" si="0"/>
        <v>Not yet complete</v>
      </c>
      <c r="P16" s="8"/>
      <c r="Q16" s="9"/>
      <c r="R16" s="8"/>
    </row>
    <row r="17" spans="1:18" ht="67.95" customHeight="1" x14ac:dyDescent="0.3">
      <c r="A17" s="4">
        <v>46333</v>
      </c>
      <c r="B17" s="5" t="s">
        <v>202</v>
      </c>
      <c r="C17" s="6" t="s">
        <v>203</v>
      </c>
      <c r="D17" s="5" t="s">
        <v>260</v>
      </c>
      <c r="E17" s="5" t="s">
        <v>261</v>
      </c>
      <c r="F17" s="27" t="s">
        <v>262</v>
      </c>
      <c r="G17" s="41" t="s">
        <v>263</v>
      </c>
      <c r="H17" s="5" t="s">
        <v>63</v>
      </c>
      <c r="I17" s="35" t="s">
        <v>207</v>
      </c>
      <c r="J17" s="27" t="s">
        <v>259</v>
      </c>
      <c r="K17" s="7" t="s">
        <v>209</v>
      </c>
      <c r="L17" s="7" t="s">
        <v>209</v>
      </c>
      <c r="M17" s="7" t="s">
        <v>209</v>
      </c>
      <c r="N17" s="7" t="s">
        <v>209</v>
      </c>
      <c r="O17" s="5" t="str">
        <f t="shared" si="0"/>
        <v>Not yet complete</v>
      </c>
      <c r="P17" s="8"/>
      <c r="Q17" s="9"/>
      <c r="R17" s="8"/>
    </row>
    <row r="18" spans="1:18" ht="67.95" customHeight="1" x14ac:dyDescent="0.3">
      <c r="A18" s="4">
        <v>46334</v>
      </c>
      <c r="B18" s="5" t="s">
        <v>210</v>
      </c>
      <c r="C18" s="11" t="s">
        <v>22</v>
      </c>
      <c r="D18" s="5" t="s">
        <v>22</v>
      </c>
      <c r="E18" s="5" t="s">
        <v>264</v>
      </c>
      <c r="F18" s="27" t="s">
        <v>265</v>
      </c>
      <c r="G18" s="40" t="s">
        <v>266</v>
      </c>
      <c r="H18" s="5" t="s">
        <v>57</v>
      </c>
      <c r="I18" s="36" t="s">
        <v>215</v>
      </c>
      <c r="J18" s="27" t="s">
        <v>267</v>
      </c>
      <c r="K18" s="7" t="s">
        <v>209</v>
      </c>
      <c r="L18" s="7" t="s">
        <v>209</v>
      </c>
      <c r="M18" s="7" t="s">
        <v>209</v>
      </c>
      <c r="N18" s="7" t="s">
        <v>209</v>
      </c>
      <c r="O18" s="5" t="str">
        <f t="shared" si="0"/>
        <v>Not yet complete</v>
      </c>
      <c r="P18" s="8"/>
      <c r="Q18" s="9"/>
      <c r="R18" s="8"/>
    </row>
    <row r="19" spans="1:18" ht="67.95" customHeight="1" x14ac:dyDescent="0.3">
      <c r="A19" s="4">
        <v>46335</v>
      </c>
      <c r="B19" s="5" t="s">
        <v>217</v>
      </c>
      <c r="C19" s="6" t="s">
        <v>203</v>
      </c>
      <c r="D19" s="5" t="s">
        <v>260</v>
      </c>
      <c r="E19" s="5" t="s">
        <v>261</v>
      </c>
      <c r="F19" s="27" t="s">
        <v>268</v>
      </c>
      <c r="G19" s="41" t="s">
        <v>269</v>
      </c>
      <c r="H19" s="5" t="s">
        <v>63</v>
      </c>
      <c r="I19" s="35" t="s">
        <v>207</v>
      </c>
      <c r="J19" s="27" t="s">
        <v>259</v>
      </c>
      <c r="K19" s="7" t="s">
        <v>209</v>
      </c>
      <c r="L19" s="7" t="s">
        <v>209</v>
      </c>
      <c r="M19" s="7" t="s">
        <v>209</v>
      </c>
      <c r="N19" s="7" t="s">
        <v>209</v>
      </c>
      <c r="O19" s="5" t="str">
        <f t="shared" si="0"/>
        <v>Not yet complete</v>
      </c>
      <c r="P19" s="8"/>
      <c r="Q19" s="9"/>
      <c r="R19" s="8"/>
    </row>
    <row r="20" spans="1:18" ht="67.95" customHeight="1" x14ac:dyDescent="0.3">
      <c r="A20" s="4">
        <v>46336</v>
      </c>
      <c r="B20" s="5" t="s">
        <v>221</v>
      </c>
      <c r="C20" s="6" t="s">
        <v>203</v>
      </c>
      <c r="D20" s="5" t="s">
        <v>260</v>
      </c>
      <c r="E20" s="5" t="s">
        <v>270</v>
      </c>
      <c r="F20" s="27" t="s">
        <v>271</v>
      </c>
      <c r="G20" s="41" t="s">
        <v>272</v>
      </c>
      <c r="H20" s="5" t="s">
        <v>75</v>
      </c>
      <c r="I20" s="37" t="s">
        <v>273</v>
      </c>
      <c r="J20" s="27" t="s">
        <v>274</v>
      </c>
      <c r="K20" s="7" t="s">
        <v>209</v>
      </c>
      <c r="L20" s="7" t="s">
        <v>209</v>
      </c>
      <c r="M20" s="7" t="s">
        <v>209</v>
      </c>
      <c r="N20" s="7" t="s">
        <v>209</v>
      </c>
      <c r="O20" s="5" t="str">
        <f t="shared" si="0"/>
        <v>Not yet complete</v>
      </c>
      <c r="P20" s="8"/>
      <c r="Q20" s="9"/>
      <c r="R20" s="8"/>
    </row>
    <row r="21" spans="1:18" ht="67.95" customHeight="1" x14ac:dyDescent="0.3">
      <c r="A21" s="4">
        <v>46337</v>
      </c>
      <c r="B21" s="5" t="s">
        <v>226</v>
      </c>
      <c r="C21" s="6" t="s">
        <v>203</v>
      </c>
      <c r="D21" s="5" t="s">
        <v>260</v>
      </c>
      <c r="E21" s="5" t="s">
        <v>275</v>
      </c>
      <c r="F21" s="27" t="s">
        <v>276</v>
      </c>
      <c r="G21" s="41" t="s">
        <v>277</v>
      </c>
      <c r="H21" s="5" t="s">
        <v>75</v>
      </c>
      <c r="I21" s="37" t="s">
        <v>273</v>
      </c>
      <c r="J21" s="27" t="s">
        <v>274</v>
      </c>
      <c r="K21" s="7" t="s">
        <v>209</v>
      </c>
      <c r="L21" s="7" t="s">
        <v>209</v>
      </c>
      <c r="M21" s="7" t="s">
        <v>209</v>
      </c>
      <c r="N21" s="7" t="s">
        <v>209</v>
      </c>
      <c r="O21" s="5" t="str">
        <f t="shared" si="0"/>
        <v>Not yet complete</v>
      </c>
      <c r="P21" s="8"/>
      <c r="Q21" s="9"/>
      <c r="R21" s="8"/>
    </row>
    <row r="22" spans="1:18" ht="67.95" customHeight="1" x14ac:dyDescent="0.3">
      <c r="A22" s="4">
        <v>46338</v>
      </c>
      <c r="B22" s="5" t="s">
        <v>230</v>
      </c>
      <c r="C22" s="6" t="s">
        <v>203</v>
      </c>
      <c r="D22" s="5" t="s">
        <v>260</v>
      </c>
      <c r="E22" s="5" t="s">
        <v>278</v>
      </c>
      <c r="F22" s="27" t="s">
        <v>279</v>
      </c>
      <c r="G22" s="41" t="s">
        <v>280</v>
      </c>
      <c r="H22" s="5" t="s">
        <v>75</v>
      </c>
      <c r="I22" s="37" t="s">
        <v>273</v>
      </c>
      <c r="J22" s="27" t="s">
        <v>274</v>
      </c>
      <c r="K22" s="7" t="s">
        <v>209</v>
      </c>
      <c r="L22" s="7" t="s">
        <v>209</v>
      </c>
      <c r="M22" s="7" t="s">
        <v>209</v>
      </c>
      <c r="N22" s="7" t="s">
        <v>209</v>
      </c>
      <c r="O22" s="5" t="str">
        <f t="shared" si="0"/>
        <v>Not yet complete</v>
      </c>
      <c r="P22" s="8"/>
      <c r="Q22" s="9"/>
      <c r="R22" s="8"/>
    </row>
    <row r="23" spans="1:18" ht="67.95" customHeight="1" x14ac:dyDescent="0.3">
      <c r="A23" s="4">
        <v>46339</v>
      </c>
      <c r="B23" s="5" t="s">
        <v>235</v>
      </c>
      <c r="C23" s="6" t="s">
        <v>203</v>
      </c>
      <c r="D23" s="5" t="s">
        <v>260</v>
      </c>
      <c r="E23" s="5" t="s">
        <v>123</v>
      </c>
      <c r="F23" s="27" t="s">
        <v>281</v>
      </c>
      <c r="G23" s="41" t="s">
        <v>282</v>
      </c>
      <c r="H23" s="5" t="s">
        <v>225</v>
      </c>
      <c r="I23" s="35" t="s">
        <v>207</v>
      </c>
      <c r="J23" s="27" t="s">
        <v>208</v>
      </c>
      <c r="K23" s="7" t="s">
        <v>209</v>
      </c>
      <c r="L23" s="7" t="s">
        <v>209</v>
      </c>
      <c r="M23" s="7" t="s">
        <v>209</v>
      </c>
      <c r="N23" s="7" t="s">
        <v>209</v>
      </c>
      <c r="O23" s="5" t="str">
        <f t="shared" si="0"/>
        <v>Not yet complete</v>
      </c>
      <c r="P23" s="8"/>
      <c r="Q23" s="9"/>
      <c r="R23" s="8"/>
    </row>
    <row r="24" spans="1:18" ht="67.95" customHeight="1" x14ac:dyDescent="0.3">
      <c r="A24" s="4">
        <v>46340</v>
      </c>
      <c r="B24" s="5" t="s">
        <v>202</v>
      </c>
      <c r="C24" s="6" t="s">
        <v>203</v>
      </c>
      <c r="D24" s="5" t="s">
        <v>260</v>
      </c>
      <c r="E24" s="5" t="s">
        <v>125</v>
      </c>
      <c r="F24" s="27" t="s">
        <v>283</v>
      </c>
      <c r="G24" s="41" t="s">
        <v>284</v>
      </c>
      <c r="H24" s="5" t="s">
        <v>225</v>
      </c>
      <c r="I24" s="35" t="s">
        <v>207</v>
      </c>
      <c r="J24" s="27" t="s">
        <v>208</v>
      </c>
      <c r="K24" s="7" t="s">
        <v>209</v>
      </c>
      <c r="L24" s="7" t="s">
        <v>209</v>
      </c>
      <c r="M24" s="7" t="s">
        <v>209</v>
      </c>
      <c r="N24" s="7" t="s">
        <v>209</v>
      </c>
      <c r="O24" s="5" t="str">
        <f t="shared" si="0"/>
        <v>Not yet complete</v>
      </c>
      <c r="P24" s="8"/>
      <c r="Q24" s="9"/>
      <c r="R24" s="8"/>
    </row>
    <row r="25" spans="1:18" ht="67.95" customHeight="1" x14ac:dyDescent="0.3">
      <c r="A25" s="4">
        <v>46341</v>
      </c>
      <c r="B25" s="5" t="s">
        <v>210</v>
      </c>
      <c r="C25" s="11" t="s">
        <v>22</v>
      </c>
      <c r="D25" s="5" t="s">
        <v>22</v>
      </c>
      <c r="E25" s="5" t="s">
        <v>285</v>
      </c>
      <c r="F25" s="27" t="s">
        <v>265</v>
      </c>
      <c r="G25" s="40" t="s">
        <v>266</v>
      </c>
      <c r="H25" s="5" t="s">
        <v>57</v>
      </c>
      <c r="I25" s="36" t="s">
        <v>215</v>
      </c>
      <c r="J25" s="27" t="s">
        <v>267</v>
      </c>
      <c r="K25" s="7" t="s">
        <v>209</v>
      </c>
      <c r="L25" s="7" t="s">
        <v>209</v>
      </c>
      <c r="M25" s="7" t="s">
        <v>209</v>
      </c>
      <c r="N25" s="7" t="s">
        <v>209</v>
      </c>
      <c r="O25" s="5" t="str">
        <f t="shared" si="0"/>
        <v>Not yet complete</v>
      </c>
      <c r="P25" s="8"/>
      <c r="Q25" s="9"/>
      <c r="R25" s="8"/>
    </row>
    <row r="26" spans="1:18" ht="67.95" customHeight="1" x14ac:dyDescent="0.3">
      <c r="A26" s="4">
        <v>46342</v>
      </c>
      <c r="B26" s="5" t="s">
        <v>217</v>
      </c>
      <c r="C26" s="6" t="s">
        <v>203</v>
      </c>
      <c r="D26" s="5" t="s">
        <v>260</v>
      </c>
      <c r="E26" s="5" t="s">
        <v>127</v>
      </c>
      <c r="F26" s="27" t="s">
        <v>286</v>
      </c>
      <c r="G26" s="41" t="s">
        <v>287</v>
      </c>
      <c r="H26" s="5" t="s">
        <v>225</v>
      </c>
      <c r="I26" s="35" t="s">
        <v>207</v>
      </c>
      <c r="J26" s="27" t="s">
        <v>208</v>
      </c>
      <c r="K26" s="7" t="s">
        <v>209</v>
      </c>
      <c r="L26" s="7" t="s">
        <v>209</v>
      </c>
      <c r="M26" s="7" t="s">
        <v>209</v>
      </c>
      <c r="N26" s="7" t="s">
        <v>209</v>
      </c>
      <c r="O26" s="5" t="str">
        <f t="shared" si="0"/>
        <v>Not yet complete</v>
      </c>
      <c r="P26" s="8"/>
      <c r="Q26" s="9"/>
      <c r="R26" s="8"/>
    </row>
    <row r="27" spans="1:18" ht="67.95" customHeight="1" x14ac:dyDescent="0.3">
      <c r="A27" s="4">
        <v>46343</v>
      </c>
      <c r="B27" s="5" t="s">
        <v>221</v>
      </c>
      <c r="C27" s="6" t="s">
        <v>203</v>
      </c>
      <c r="D27" s="5" t="s">
        <v>260</v>
      </c>
      <c r="E27" s="5" t="s">
        <v>127</v>
      </c>
      <c r="F27" s="27" t="s">
        <v>288</v>
      </c>
      <c r="G27" s="41" t="s">
        <v>289</v>
      </c>
      <c r="H27" s="5" t="s">
        <v>225</v>
      </c>
      <c r="I27" s="35" t="s">
        <v>207</v>
      </c>
      <c r="J27" s="27" t="s">
        <v>208</v>
      </c>
      <c r="K27" s="7" t="s">
        <v>209</v>
      </c>
      <c r="L27" s="7" t="s">
        <v>209</v>
      </c>
      <c r="M27" s="7" t="s">
        <v>209</v>
      </c>
      <c r="N27" s="7" t="s">
        <v>209</v>
      </c>
      <c r="O27" s="5" t="str">
        <f t="shared" si="0"/>
        <v>Not yet complete</v>
      </c>
      <c r="P27" s="8"/>
      <c r="Q27" s="9"/>
      <c r="R27" s="8"/>
    </row>
    <row r="28" spans="1:18" ht="67.95" customHeight="1" x14ac:dyDescent="0.3">
      <c r="A28" s="4">
        <v>46344</v>
      </c>
      <c r="B28" s="5" t="s">
        <v>226</v>
      </c>
      <c r="C28" s="6" t="s">
        <v>203</v>
      </c>
      <c r="D28" s="5" t="s">
        <v>260</v>
      </c>
      <c r="E28" s="5" t="s">
        <v>129</v>
      </c>
      <c r="F28" s="27" t="s">
        <v>290</v>
      </c>
      <c r="G28" s="41" t="s">
        <v>291</v>
      </c>
      <c r="H28" s="5" t="s">
        <v>225</v>
      </c>
      <c r="I28" s="35" t="s">
        <v>207</v>
      </c>
      <c r="J28" s="27" t="s">
        <v>208</v>
      </c>
      <c r="K28" s="7" t="s">
        <v>209</v>
      </c>
      <c r="L28" s="7" t="s">
        <v>209</v>
      </c>
      <c r="M28" s="7" t="s">
        <v>209</v>
      </c>
      <c r="N28" s="7" t="s">
        <v>209</v>
      </c>
      <c r="O28" s="5" t="str">
        <f t="shared" si="0"/>
        <v>Not yet complete</v>
      </c>
      <c r="P28" s="8"/>
      <c r="Q28" s="9"/>
      <c r="R28" s="8"/>
    </row>
    <row r="29" spans="1:18" ht="67.95" customHeight="1" x14ac:dyDescent="0.3">
      <c r="A29" s="4">
        <v>46345</v>
      </c>
      <c r="B29" s="5" t="s">
        <v>230</v>
      </c>
      <c r="C29" s="6" t="s">
        <v>203</v>
      </c>
      <c r="D29" s="5" t="s">
        <v>260</v>
      </c>
      <c r="E29" s="5" t="s">
        <v>129</v>
      </c>
      <c r="F29" s="27" t="s">
        <v>292</v>
      </c>
      <c r="G29" s="41" t="s">
        <v>293</v>
      </c>
      <c r="H29" s="5" t="s">
        <v>225</v>
      </c>
      <c r="I29" s="35" t="s">
        <v>207</v>
      </c>
      <c r="J29" s="27" t="s">
        <v>208</v>
      </c>
      <c r="K29" s="7" t="s">
        <v>209</v>
      </c>
      <c r="L29" s="7" t="s">
        <v>209</v>
      </c>
      <c r="M29" s="7" t="s">
        <v>209</v>
      </c>
      <c r="N29" s="7" t="s">
        <v>209</v>
      </c>
      <c r="O29" s="5" t="str">
        <f t="shared" si="0"/>
        <v>Not yet complete</v>
      </c>
      <c r="P29" s="8"/>
      <c r="Q29" s="9"/>
      <c r="R29" s="8"/>
    </row>
    <row r="30" spans="1:18" ht="67.95" customHeight="1" x14ac:dyDescent="0.3">
      <c r="A30" s="4">
        <v>46346</v>
      </c>
      <c r="B30" s="5" t="s">
        <v>235</v>
      </c>
      <c r="C30" s="6" t="s">
        <v>203</v>
      </c>
      <c r="D30" s="5" t="s">
        <v>260</v>
      </c>
      <c r="E30" s="5" t="s">
        <v>132</v>
      </c>
      <c r="F30" s="27" t="s">
        <v>294</v>
      </c>
      <c r="G30" s="41" t="s">
        <v>295</v>
      </c>
      <c r="H30" s="5" t="s">
        <v>225</v>
      </c>
      <c r="I30" s="35" t="s">
        <v>207</v>
      </c>
      <c r="J30" s="27" t="s">
        <v>208</v>
      </c>
      <c r="K30" s="7" t="s">
        <v>209</v>
      </c>
      <c r="L30" s="7" t="s">
        <v>209</v>
      </c>
      <c r="M30" s="7" t="s">
        <v>209</v>
      </c>
      <c r="N30" s="7" t="s">
        <v>209</v>
      </c>
      <c r="O30" s="5" t="str">
        <f t="shared" si="0"/>
        <v>Not yet complete</v>
      </c>
      <c r="P30" s="8"/>
      <c r="Q30" s="9"/>
      <c r="R30" s="8"/>
    </row>
    <row r="31" spans="1:18" ht="67.95" customHeight="1" x14ac:dyDescent="0.3">
      <c r="A31" s="4">
        <v>46347</v>
      </c>
      <c r="B31" s="5" t="s">
        <v>202</v>
      </c>
      <c r="C31" s="6" t="s">
        <v>203</v>
      </c>
      <c r="D31" s="5" t="s">
        <v>260</v>
      </c>
      <c r="E31" s="5" t="s">
        <v>134</v>
      </c>
      <c r="F31" s="27" t="s">
        <v>296</v>
      </c>
      <c r="G31" s="41" t="s">
        <v>297</v>
      </c>
      <c r="H31" s="5" t="s">
        <v>63</v>
      </c>
      <c r="I31" s="35" t="s">
        <v>207</v>
      </c>
      <c r="J31" s="27" t="s">
        <v>259</v>
      </c>
      <c r="K31" s="7" t="s">
        <v>209</v>
      </c>
      <c r="L31" s="7" t="s">
        <v>209</v>
      </c>
      <c r="M31" s="7" t="s">
        <v>209</v>
      </c>
      <c r="N31" s="7" t="s">
        <v>209</v>
      </c>
      <c r="O31" s="5" t="str">
        <f t="shared" si="0"/>
        <v>Not yet complete</v>
      </c>
      <c r="P31" s="8"/>
      <c r="Q31" s="9"/>
      <c r="R31" s="8"/>
    </row>
    <row r="32" spans="1:18" ht="67.95" customHeight="1" x14ac:dyDescent="0.3">
      <c r="A32" s="4">
        <v>46348</v>
      </c>
      <c r="B32" s="5" t="s">
        <v>210</v>
      </c>
      <c r="C32" s="11" t="s">
        <v>22</v>
      </c>
      <c r="D32" s="5" t="s">
        <v>22</v>
      </c>
      <c r="E32" s="5" t="s">
        <v>298</v>
      </c>
      <c r="F32" s="27" t="s">
        <v>265</v>
      </c>
      <c r="G32" s="40" t="s">
        <v>266</v>
      </c>
      <c r="H32" s="5" t="s">
        <v>57</v>
      </c>
      <c r="I32" s="36" t="s">
        <v>215</v>
      </c>
      <c r="J32" s="27" t="s">
        <v>267</v>
      </c>
      <c r="K32" s="7" t="s">
        <v>209</v>
      </c>
      <c r="L32" s="7" t="s">
        <v>209</v>
      </c>
      <c r="M32" s="7" t="s">
        <v>209</v>
      </c>
      <c r="N32" s="7" t="s">
        <v>209</v>
      </c>
      <c r="O32" s="5" t="str">
        <f t="shared" si="0"/>
        <v>Not yet complete</v>
      </c>
      <c r="P32" s="8"/>
      <c r="Q32" s="9"/>
      <c r="R32" s="8"/>
    </row>
    <row r="33" spans="1:18" ht="67.95" customHeight="1" x14ac:dyDescent="0.3">
      <c r="A33" s="4">
        <v>46349</v>
      </c>
      <c r="B33" s="5" t="s">
        <v>217</v>
      </c>
      <c r="C33" s="6" t="s">
        <v>203</v>
      </c>
      <c r="D33" s="5" t="s">
        <v>260</v>
      </c>
      <c r="E33" s="5" t="s">
        <v>299</v>
      </c>
      <c r="F33" s="27" t="s">
        <v>300</v>
      </c>
      <c r="G33" s="41" t="s">
        <v>301</v>
      </c>
      <c r="H33" s="5" t="s">
        <v>75</v>
      </c>
      <c r="I33" s="37" t="s">
        <v>273</v>
      </c>
      <c r="J33" s="27" t="s">
        <v>274</v>
      </c>
      <c r="K33" s="7" t="s">
        <v>209</v>
      </c>
      <c r="L33" s="7" t="s">
        <v>209</v>
      </c>
      <c r="M33" s="7" t="s">
        <v>209</v>
      </c>
      <c r="N33" s="7" t="s">
        <v>209</v>
      </c>
      <c r="O33" s="5" t="str">
        <f t="shared" si="0"/>
        <v>Not yet complete</v>
      </c>
      <c r="P33" s="8"/>
      <c r="Q33" s="9"/>
      <c r="R33" s="8"/>
    </row>
    <row r="34" spans="1:18" ht="67.95" customHeight="1" x14ac:dyDescent="0.3">
      <c r="A34" s="4">
        <v>46350</v>
      </c>
      <c r="B34" s="5" t="s">
        <v>221</v>
      </c>
      <c r="C34" s="6" t="s">
        <v>203</v>
      </c>
      <c r="D34" s="5" t="s">
        <v>260</v>
      </c>
      <c r="E34" s="5" t="s">
        <v>137</v>
      </c>
      <c r="F34" s="27" t="s">
        <v>302</v>
      </c>
      <c r="G34" s="39" t="s">
        <v>303</v>
      </c>
      <c r="H34" s="5" t="s">
        <v>75</v>
      </c>
      <c r="I34" s="37" t="s">
        <v>273</v>
      </c>
      <c r="J34" s="27" t="s">
        <v>274</v>
      </c>
      <c r="K34" s="7" t="s">
        <v>209</v>
      </c>
      <c r="L34" s="7" t="s">
        <v>209</v>
      </c>
      <c r="M34" s="7" t="s">
        <v>209</v>
      </c>
      <c r="N34" s="7" t="s">
        <v>209</v>
      </c>
      <c r="O34" s="5" t="str">
        <f t="shared" si="0"/>
        <v>Not yet complete</v>
      </c>
      <c r="P34" s="8"/>
      <c r="Q34" s="9"/>
      <c r="R34" s="8"/>
    </row>
    <row r="35" spans="1:18" ht="67.95" customHeight="1" x14ac:dyDescent="0.3">
      <c r="A35" s="4">
        <v>46351</v>
      </c>
      <c r="B35" s="5" t="s">
        <v>226</v>
      </c>
      <c r="C35" s="6" t="s">
        <v>203</v>
      </c>
      <c r="D35" s="5" t="s">
        <v>260</v>
      </c>
      <c r="E35" s="5" t="s">
        <v>141</v>
      </c>
      <c r="F35" s="27" t="s">
        <v>304</v>
      </c>
      <c r="G35" s="41" t="s">
        <v>305</v>
      </c>
      <c r="H35" s="5" t="s">
        <v>63</v>
      </c>
      <c r="I35" s="35" t="s">
        <v>207</v>
      </c>
      <c r="J35" s="27" t="s">
        <v>259</v>
      </c>
      <c r="K35" s="7" t="s">
        <v>209</v>
      </c>
      <c r="L35" s="7" t="s">
        <v>209</v>
      </c>
      <c r="M35" s="7" t="s">
        <v>209</v>
      </c>
      <c r="N35" s="7" t="s">
        <v>209</v>
      </c>
      <c r="O35" s="5" t="str">
        <f t="shared" ref="O35:O66" si="2">IF(COUNTIF(K35:N35,"Yes")=4,"Complete","Not yet complete")</f>
        <v>Not yet complete</v>
      </c>
      <c r="P35" s="8"/>
      <c r="Q35" s="9"/>
      <c r="R35" s="8"/>
    </row>
    <row r="36" spans="1:18" ht="67.95" customHeight="1" x14ac:dyDescent="0.3">
      <c r="A36" s="4">
        <v>46352</v>
      </c>
      <c r="B36" s="5" t="s">
        <v>230</v>
      </c>
      <c r="C36" s="6" t="s">
        <v>203</v>
      </c>
      <c r="D36" s="5" t="s">
        <v>260</v>
      </c>
      <c r="E36" s="5" t="s">
        <v>143</v>
      </c>
      <c r="F36" s="27" t="s">
        <v>306</v>
      </c>
      <c r="G36" s="41" t="s">
        <v>307</v>
      </c>
      <c r="H36" s="5" t="s">
        <v>63</v>
      </c>
      <c r="I36" s="35" t="s">
        <v>207</v>
      </c>
      <c r="J36" s="27" t="s">
        <v>259</v>
      </c>
      <c r="K36" s="7" t="s">
        <v>209</v>
      </c>
      <c r="L36" s="7" t="s">
        <v>209</v>
      </c>
      <c r="M36" s="7" t="s">
        <v>209</v>
      </c>
      <c r="N36" s="7" t="s">
        <v>209</v>
      </c>
      <c r="O36" s="5" t="str">
        <f t="shared" si="2"/>
        <v>Not yet complete</v>
      </c>
      <c r="P36" s="8"/>
      <c r="Q36" s="9"/>
      <c r="R36" s="8"/>
    </row>
    <row r="37" spans="1:18" ht="67.95" customHeight="1" x14ac:dyDescent="0.3">
      <c r="A37" s="4">
        <v>46353</v>
      </c>
      <c r="B37" s="5" t="s">
        <v>235</v>
      </c>
      <c r="C37" s="6" t="s">
        <v>203</v>
      </c>
      <c r="D37" s="5" t="s">
        <v>308</v>
      </c>
      <c r="E37" s="5" t="s">
        <v>145</v>
      </c>
      <c r="F37" s="27" t="s">
        <v>309</v>
      </c>
      <c r="G37" s="41" t="s">
        <v>310</v>
      </c>
      <c r="H37" s="5" t="s">
        <v>63</v>
      </c>
      <c r="I37" s="35" t="s">
        <v>207</v>
      </c>
      <c r="J37" s="27" t="s">
        <v>259</v>
      </c>
      <c r="K37" s="7" t="s">
        <v>209</v>
      </c>
      <c r="L37" s="7" t="s">
        <v>209</v>
      </c>
      <c r="M37" s="7" t="s">
        <v>209</v>
      </c>
      <c r="N37" s="7" t="s">
        <v>209</v>
      </c>
      <c r="O37" s="5" t="str">
        <f t="shared" si="2"/>
        <v>Not yet complete</v>
      </c>
      <c r="P37" s="8"/>
      <c r="Q37" s="9"/>
      <c r="R37" s="8"/>
    </row>
    <row r="38" spans="1:18" ht="67.95" customHeight="1" x14ac:dyDescent="0.3">
      <c r="A38" s="4">
        <v>46354</v>
      </c>
      <c r="B38" s="5" t="s">
        <v>202</v>
      </c>
      <c r="C38" s="6" t="s">
        <v>203</v>
      </c>
      <c r="D38" s="5" t="s">
        <v>308</v>
      </c>
      <c r="E38" s="5" t="s">
        <v>148</v>
      </c>
      <c r="F38" s="27" t="s">
        <v>311</v>
      </c>
      <c r="G38" s="41" t="s">
        <v>312</v>
      </c>
      <c r="H38" s="5" t="s">
        <v>63</v>
      </c>
      <c r="I38" s="35" t="s">
        <v>207</v>
      </c>
      <c r="J38" s="27" t="s">
        <v>259</v>
      </c>
      <c r="K38" s="7" t="s">
        <v>209</v>
      </c>
      <c r="L38" s="7" t="s">
        <v>209</v>
      </c>
      <c r="M38" s="7" t="s">
        <v>209</v>
      </c>
      <c r="N38" s="7" t="s">
        <v>209</v>
      </c>
      <c r="O38" s="5" t="str">
        <f t="shared" si="2"/>
        <v>Not yet complete</v>
      </c>
      <c r="P38" s="8"/>
      <c r="Q38" s="9"/>
      <c r="R38" s="8"/>
    </row>
    <row r="39" spans="1:18" ht="67.95" customHeight="1" x14ac:dyDescent="0.3">
      <c r="A39" s="4">
        <v>46355</v>
      </c>
      <c r="B39" s="5" t="s">
        <v>210</v>
      </c>
      <c r="C39" s="11" t="s">
        <v>22</v>
      </c>
      <c r="D39" s="5" t="s">
        <v>22</v>
      </c>
      <c r="E39" s="5" t="s">
        <v>313</v>
      </c>
      <c r="F39" s="27" t="s">
        <v>265</v>
      </c>
      <c r="G39" s="40" t="s">
        <v>266</v>
      </c>
      <c r="H39" s="5" t="s">
        <v>57</v>
      </c>
      <c r="I39" s="36" t="s">
        <v>215</v>
      </c>
      <c r="J39" s="27" t="s">
        <v>267</v>
      </c>
      <c r="K39" s="7" t="s">
        <v>209</v>
      </c>
      <c r="L39" s="7" t="s">
        <v>209</v>
      </c>
      <c r="M39" s="7" t="s">
        <v>209</v>
      </c>
      <c r="N39" s="7" t="s">
        <v>209</v>
      </c>
      <c r="O39" s="5" t="str">
        <f t="shared" si="2"/>
        <v>Not yet complete</v>
      </c>
      <c r="P39" s="8"/>
      <c r="Q39" s="9"/>
      <c r="R39" s="8"/>
    </row>
    <row r="40" spans="1:18" ht="67.95" customHeight="1" x14ac:dyDescent="0.3">
      <c r="A40" s="4">
        <v>46356</v>
      </c>
      <c r="B40" s="5" t="s">
        <v>217</v>
      </c>
      <c r="C40" s="6" t="s">
        <v>203</v>
      </c>
      <c r="D40" s="5" t="s">
        <v>308</v>
      </c>
      <c r="E40" s="5" t="s">
        <v>152</v>
      </c>
      <c r="F40" s="27" t="s">
        <v>314</v>
      </c>
      <c r="G40" s="41" t="s">
        <v>315</v>
      </c>
      <c r="H40" s="5" t="s">
        <v>63</v>
      </c>
      <c r="I40" s="35" t="s">
        <v>207</v>
      </c>
      <c r="J40" s="27" t="s">
        <v>259</v>
      </c>
      <c r="K40" s="7" t="s">
        <v>209</v>
      </c>
      <c r="L40" s="7" t="s">
        <v>209</v>
      </c>
      <c r="M40" s="7" t="s">
        <v>209</v>
      </c>
      <c r="N40" s="7" t="s">
        <v>209</v>
      </c>
      <c r="O40" s="5" t="str">
        <f t="shared" si="2"/>
        <v>Not yet complete</v>
      </c>
      <c r="P40" s="8"/>
      <c r="Q40" s="9"/>
      <c r="R40" s="8"/>
    </row>
    <row r="41" spans="1:18" ht="67.95" customHeight="1" x14ac:dyDescent="0.3">
      <c r="A41" s="4">
        <v>46357</v>
      </c>
      <c r="B41" s="5" t="s">
        <v>221</v>
      </c>
      <c r="C41" s="6" t="s">
        <v>203</v>
      </c>
      <c r="D41" s="5" t="s">
        <v>308</v>
      </c>
      <c r="E41" s="5" t="s">
        <v>152</v>
      </c>
      <c r="F41" s="27" t="s">
        <v>316</v>
      </c>
      <c r="G41" s="41" t="s">
        <v>317</v>
      </c>
      <c r="H41" s="5" t="s">
        <v>63</v>
      </c>
      <c r="I41" s="35" t="s">
        <v>207</v>
      </c>
      <c r="J41" s="27" t="s">
        <v>259</v>
      </c>
      <c r="K41" s="7" t="s">
        <v>209</v>
      </c>
      <c r="L41" s="7" t="s">
        <v>209</v>
      </c>
      <c r="M41" s="7" t="s">
        <v>209</v>
      </c>
      <c r="N41" s="7" t="s">
        <v>209</v>
      </c>
      <c r="O41" s="5" t="str">
        <f t="shared" si="2"/>
        <v>Not yet complete</v>
      </c>
      <c r="P41" s="8"/>
      <c r="Q41" s="9"/>
      <c r="R41" s="8"/>
    </row>
    <row r="42" spans="1:18" ht="67.95" customHeight="1" x14ac:dyDescent="0.3">
      <c r="A42" s="4">
        <v>46358</v>
      </c>
      <c r="B42" s="5" t="s">
        <v>226</v>
      </c>
      <c r="C42" s="6" t="s">
        <v>203</v>
      </c>
      <c r="D42" s="5" t="s">
        <v>308</v>
      </c>
      <c r="E42" s="5" t="s">
        <v>154</v>
      </c>
      <c r="F42" s="27" t="s">
        <v>318</v>
      </c>
      <c r="G42" s="41" t="s">
        <v>319</v>
      </c>
      <c r="H42" s="5" t="s">
        <v>63</v>
      </c>
      <c r="I42" s="35" t="s">
        <v>207</v>
      </c>
      <c r="J42" s="27" t="s">
        <v>259</v>
      </c>
      <c r="K42" s="7" t="s">
        <v>209</v>
      </c>
      <c r="L42" s="7" t="s">
        <v>209</v>
      </c>
      <c r="M42" s="7" t="s">
        <v>209</v>
      </c>
      <c r="N42" s="7" t="s">
        <v>209</v>
      </c>
      <c r="O42" s="5" t="str">
        <f t="shared" si="2"/>
        <v>Not yet complete</v>
      </c>
      <c r="P42" s="8"/>
      <c r="Q42" s="9"/>
      <c r="R42" s="8"/>
    </row>
    <row r="43" spans="1:18" ht="67.95" customHeight="1" x14ac:dyDescent="0.3">
      <c r="A43" s="4">
        <v>46359</v>
      </c>
      <c r="B43" s="5" t="s">
        <v>230</v>
      </c>
      <c r="C43" s="6" t="s">
        <v>203</v>
      </c>
      <c r="D43" s="5" t="s">
        <v>308</v>
      </c>
      <c r="E43" s="5" t="s">
        <v>158</v>
      </c>
      <c r="F43" s="27" t="s">
        <v>320</v>
      </c>
      <c r="G43" s="41" t="s">
        <v>321</v>
      </c>
      <c r="H43" s="5" t="s">
        <v>63</v>
      </c>
      <c r="I43" s="35" t="s">
        <v>207</v>
      </c>
      <c r="J43" s="27" t="s">
        <v>259</v>
      </c>
      <c r="K43" s="7" t="s">
        <v>209</v>
      </c>
      <c r="L43" s="7" t="s">
        <v>209</v>
      </c>
      <c r="M43" s="7" t="s">
        <v>209</v>
      </c>
      <c r="N43" s="7" t="s">
        <v>209</v>
      </c>
      <c r="O43" s="5" t="str">
        <f t="shared" si="2"/>
        <v>Not yet complete</v>
      </c>
      <c r="P43" s="8"/>
      <c r="Q43" s="9"/>
      <c r="R43" s="8"/>
    </row>
    <row r="44" spans="1:18" ht="67.95" customHeight="1" x14ac:dyDescent="0.3">
      <c r="A44" s="4">
        <v>46360</v>
      </c>
      <c r="B44" s="5" t="s">
        <v>235</v>
      </c>
      <c r="C44" s="6" t="s">
        <v>203</v>
      </c>
      <c r="D44" s="5" t="s">
        <v>308</v>
      </c>
      <c r="E44" s="5" t="s">
        <v>162</v>
      </c>
      <c r="F44" s="27" t="s">
        <v>322</v>
      </c>
      <c r="G44" s="41" t="s">
        <v>323</v>
      </c>
      <c r="H44" s="5" t="s">
        <v>63</v>
      </c>
      <c r="I44" s="35" t="s">
        <v>207</v>
      </c>
      <c r="J44" s="27" t="s">
        <v>259</v>
      </c>
      <c r="K44" s="7" t="s">
        <v>209</v>
      </c>
      <c r="L44" s="7" t="s">
        <v>209</v>
      </c>
      <c r="M44" s="7" t="s">
        <v>209</v>
      </c>
      <c r="N44" s="7" t="s">
        <v>209</v>
      </c>
      <c r="O44" s="5" t="str">
        <f t="shared" si="2"/>
        <v>Not yet complete</v>
      </c>
      <c r="P44" s="8"/>
      <c r="Q44" s="9"/>
      <c r="R44" s="8"/>
    </row>
    <row r="45" spans="1:18" ht="67.95" customHeight="1" x14ac:dyDescent="0.3">
      <c r="A45" s="4">
        <v>46361</v>
      </c>
      <c r="B45" s="5" t="s">
        <v>202</v>
      </c>
      <c r="C45" s="6" t="s">
        <v>203</v>
      </c>
      <c r="D45" s="5" t="s">
        <v>308</v>
      </c>
      <c r="E45" s="5" t="s">
        <v>164</v>
      </c>
      <c r="F45" s="27" t="s">
        <v>324</v>
      </c>
      <c r="G45" s="41" t="s">
        <v>325</v>
      </c>
      <c r="H45" s="5" t="s">
        <v>63</v>
      </c>
      <c r="I45" s="35" t="s">
        <v>207</v>
      </c>
      <c r="J45" s="27" t="s">
        <v>259</v>
      </c>
      <c r="K45" s="7" t="s">
        <v>209</v>
      </c>
      <c r="L45" s="7" t="s">
        <v>209</v>
      </c>
      <c r="M45" s="7" t="s">
        <v>209</v>
      </c>
      <c r="N45" s="7" t="s">
        <v>209</v>
      </c>
      <c r="O45" s="5" t="str">
        <f t="shared" si="2"/>
        <v>Not yet complete</v>
      </c>
      <c r="P45" s="8"/>
      <c r="Q45" s="9"/>
      <c r="R45" s="8"/>
    </row>
    <row r="46" spans="1:18" ht="67.95" customHeight="1" x14ac:dyDescent="0.3">
      <c r="A46" s="4">
        <v>46362</v>
      </c>
      <c r="B46" s="5" t="s">
        <v>210</v>
      </c>
      <c r="C46" s="11" t="s">
        <v>22</v>
      </c>
      <c r="D46" s="5" t="s">
        <v>22</v>
      </c>
      <c r="E46" s="5" t="s">
        <v>326</v>
      </c>
      <c r="F46" s="27" t="s">
        <v>265</v>
      </c>
      <c r="G46" s="40" t="s">
        <v>266</v>
      </c>
      <c r="H46" s="5" t="s">
        <v>57</v>
      </c>
      <c r="I46" s="36" t="s">
        <v>215</v>
      </c>
      <c r="J46" s="27" t="s">
        <v>267</v>
      </c>
      <c r="K46" s="7" t="s">
        <v>209</v>
      </c>
      <c r="L46" s="7" t="s">
        <v>209</v>
      </c>
      <c r="M46" s="7" t="s">
        <v>209</v>
      </c>
      <c r="N46" s="7" t="s">
        <v>209</v>
      </c>
      <c r="O46" s="5" t="str">
        <f t="shared" si="2"/>
        <v>Not yet complete</v>
      </c>
      <c r="P46" s="8"/>
      <c r="Q46" s="9"/>
      <c r="R46" s="8"/>
    </row>
    <row r="47" spans="1:18" ht="67.95" customHeight="1" x14ac:dyDescent="0.3">
      <c r="A47" s="4">
        <v>46363</v>
      </c>
      <c r="B47" s="5" t="s">
        <v>217</v>
      </c>
      <c r="C47" s="6" t="s">
        <v>203</v>
      </c>
      <c r="D47" s="5" t="s">
        <v>308</v>
      </c>
      <c r="E47" s="5" t="s">
        <v>169</v>
      </c>
      <c r="F47" s="27" t="s">
        <v>327</v>
      </c>
      <c r="G47" s="39" t="s">
        <v>328</v>
      </c>
      <c r="H47" s="5" t="s">
        <v>63</v>
      </c>
      <c r="I47" s="35" t="s">
        <v>207</v>
      </c>
      <c r="J47" s="27" t="s">
        <v>259</v>
      </c>
      <c r="K47" s="7" t="s">
        <v>209</v>
      </c>
      <c r="L47" s="7" t="s">
        <v>209</v>
      </c>
      <c r="M47" s="7" t="s">
        <v>209</v>
      </c>
      <c r="N47" s="7" t="s">
        <v>209</v>
      </c>
      <c r="O47" s="5" t="str">
        <f t="shared" si="2"/>
        <v>Not yet complete</v>
      </c>
      <c r="P47" s="8"/>
      <c r="Q47" s="9"/>
      <c r="R47" s="8"/>
    </row>
    <row r="48" spans="1:18" ht="67.95" customHeight="1" x14ac:dyDescent="0.3">
      <c r="A48" s="4">
        <v>46364</v>
      </c>
      <c r="B48" s="5" t="s">
        <v>221</v>
      </c>
      <c r="C48" s="6" t="s">
        <v>203</v>
      </c>
      <c r="D48" s="5" t="s">
        <v>308</v>
      </c>
      <c r="E48" s="5" t="s">
        <v>173</v>
      </c>
      <c r="F48" s="27" t="s">
        <v>329</v>
      </c>
      <c r="G48" s="39" t="s">
        <v>330</v>
      </c>
      <c r="H48" s="5" t="s">
        <v>63</v>
      </c>
      <c r="I48" s="35" t="s">
        <v>207</v>
      </c>
      <c r="J48" s="27" t="s">
        <v>259</v>
      </c>
      <c r="K48" s="7" t="s">
        <v>209</v>
      </c>
      <c r="L48" s="7" t="s">
        <v>209</v>
      </c>
      <c r="M48" s="7" t="s">
        <v>209</v>
      </c>
      <c r="N48" s="7" t="s">
        <v>209</v>
      </c>
      <c r="O48" s="5" t="str">
        <f t="shared" si="2"/>
        <v>Not yet complete</v>
      </c>
      <c r="P48" s="8"/>
      <c r="Q48" s="9"/>
      <c r="R48" s="8"/>
    </row>
    <row r="49" spans="1:18" ht="67.95" customHeight="1" x14ac:dyDescent="0.3">
      <c r="A49" s="4">
        <v>46365</v>
      </c>
      <c r="B49" s="5" t="s">
        <v>226</v>
      </c>
      <c r="C49" s="6" t="s">
        <v>203</v>
      </c>
      <c r="D49" s="5" t="s">
        <v>331</v>
      </c>
      <c r="E49" s="5" t="s">
        <v>332</v>
      </c>
      <c r="F49" s="27" t="s">
        <v>333</v>
      </c>
      <c r="G49" s="41" t="s">
        <v>334</v>
      </c>
      <c r="H49" s="5" t="s">
        <v>63</v>
      </c>
      <c r="I49" s="35" t="s">
        <v>207</v>
      </c>
      <c r="J49" s="27" t="s">
        <v>259</v>
      </c>
      <c r="K49" s="7" t="s">
        <v>209</v>
      </c>
      <c r="L49" s="7" t="s">
        <v>209</v>
      </c>
      <c r="M49" s="7" t="s">
        <v>209</v>
      </c>
      <c r="N49" s="7" t="s">
        <v>209</v>
      </c>
      <c r="O49" s="5" t="str">
        <f t="shared" si="2"/>
        <v>Not yet complete</v>
      </c>
      <c r="P49" s="8"/>
      <c r="Q49" s="9"/>
      <c r="R49" s="8"/>
    </row>
    <row r="50" spans="1:18" ht="67.95" customHeight="1" x14ac:dyDescent="0.3">
      <c r="A50" s="4">
        <v>46366</v>
      </c>
      <c r="B50" s="5" t="s">
        <v>230</v>
      </c>
      <c r="C50" s="6" t="s">
        <v>203</v>
      </c>
      <c r="D50" s="5" t="s">
        <v>331</v>
      </c>
      <c r="E50" s="5" t="s">
        <v>332</v>
      </c>
      <c r="F50" s="27" t="s">
        <v>335</v>
      </c>
      <c r="G50" s="41" t="s">
        <v>334</v>
      </c>
      <c r="H50" s="5" t="s">
        <v>63</v>
      </c>
      <c r="I50" s="35" t="s">
        <v>207</v>
      </c>
      <c r="J50" s="27" t="s">
        <v>259</v>
      </c>
      <c r="K50" s="7" t="s">
        <v>209</v>
      </c>
      <c r="L50" s="7" t="s">
        <v>209</v>
      </c>
      <c r="M50" s="7" t="s">
        <v>209</v>
      </c>
      <c r="N50" s="7" t="s">
        <v>209</v>
      </c>
      <c r="O50" s="5" t="str">
        <f t="shared" si="2"/>
        <v>Not yet complete</v>
      </c>
      <c r="P50" s="8"/>
      <c r="Q50" s="9"/>
      <c r="R50" s="8"/>
    </row>
    <row r="51" spans="1:18" ht="67.95" customHeight="1" x14ac:dyDescent="0.3">
      <c r="A51" s="4">
        <v>46367</v>
      </c>
      <c r="B51" s="5" t="s">
        <v>235</v>
      </c>
      <c r="C51" s="6" t="s">
        <v>203</v>
      </c>
      <c r="D51" s="5" t="s">
        <v>331</v>
      </c>
      <c r="E51" s="5" t="s">
        <v>109</v>
      </c>
      <c r="F51" s="27" t="s">
        <v>336</v>
      </c>
      <c r="G51" s="41" t="s">
        <v>337</v>
      </c>
      <c r="H51" s="5" t="s">
        <v>63</v>
      </c>
      <c r="I51" s="35" t="s">
        <v>207</v>
      </c>
      <c r="J51" s="27" t="s">
        <v>259</v>
      </c>
      <c r="K51" s="7" t="s">
        <v>209</v>
      </c>
      <c r="L51" s="7" t="s">
        <v>209</v>
      </c>
      <c r="M51" s="7" t="s">
        <v>209</v>
      </c>
      <c r="N51" s="7" t="s">
        <v>209</v>
      </c>
      <c r="O51" s="5" t="str">
        <f t="shared" si="2"/>
        <v>Not yet complete</v>
      </c>
      <c r="P51" s="8"/>
      <c r="Q51" s="9"/>
      <c r="R51" s="8"/>
    </row>
    <row r="52" spans="1:18" ht="67.95" customHeight="1" x14ac:dyDescent="0.3">
      <c r="A52" s="4">
        <v>46368</v>
      </c>
      <c r="B52" s="5" t="s">
        <v>202</v>
      </c>
      <c r="C52" s="6" t="s">
        <v>203</v>
      </c>
      <c r="D52" s="5" t="s">
        <v>331</v>
      </c>
      <c r="E52" s="5" t="s">
        <v>115</v>
      </c>
      <c r="F52" s="27" t="s">
        <v>338</v>
      </c>
      <c r="G52" s="41" t="s">
        <v>339</v>
      </c>
      <c r="H52" s="5" t="s">
        <v>63</v>
      </c>
      <c r="I52" s="35" t="s">
        <v>207</v>
      </c>
      <c r="J52" s="27" t="s">
        <v>259</v>
      </c>
      <c r="K52" s="7" t="s">
        <v>209</v>
      </c>
      <c r="L52" s="7" t="s">
        <v>209</v>
      </c>
      <c r="M52" s="7" t="s">
        <v>209</v>
      </c>
      <c r="N52" s="7" t="s">
        <v>209</v>
      </c>
      <c r="O52" s="5" t="str">
        <f t="shared" si="2"/>
        <v>Not yet complete</v>
      </c>
      <c r="P52" s="8"/>
      <c r="Q52" s="9"/>
      <c r="R52" s="8"/>
    </row>
    <row r="53" spans="1:18" ht="67.95" customHeight="1" x14ac:dyDescent="0.3">
      <c r="A53" s="4">
        <v>46369</v>
      </c>
      <c r="B53" s="5" t="s">
        <v>210</v>
      </c>
      <c r="C53" s="10" t="s">
        <v>22</v>
      </c>
      <c r="D53" s="5" t="s">
        <v>22</v>
      </c>
      <c r="E53" s="5" t="s">
        <v>340</v>
      </c>
      <c r="F53" s="27" t="s">
        <v>341</v>
      </c>
      <c r="G53" s="40" t="s">
        <v>342</v>
      </c>
      <c r="H53" s="5" t="s">
        <v>57</v>
      </c>
      <c r="I53" s="36" t="s">
        <v>215</v>
      </c>
      <c r="J53" s="27" t="s">
        <v>343</v>
      </c>
      <c r="K53" s="7" t="s">
        <v>209</v>
      </c>
      <c r="L53" s="7" t="s">
        <v>209</v>
      </c>
      <c r="M53" s="7" t="s">
        <v>209</v>
      </c>
      <c r="N53" s="7" t="s">
        <v>209</v>
      </c>
      <c r="O53" s="5" t="str">
        <f t="shared" si="2"/>
        <v>Not yet complete</v>
      </c>
      <c r="P53" s="8"/>
      <c r="Q53" s="9"/>
      <c r="R53" s="8"/>
    </row>
    <row r="54" spans="1:18" ht="67.95" customHeight="1" x14ac:dyDescent="0.3">
      <c r="A54" s="4">
        <v>46370</v>
      </c>
      <c r="B54" s="5" t="s">
        <v>217</v>
      </c>
      <c r="C54" s="6" t="s">
        <v>203</v>
      </c>
      <c r="D54" s="5" t="s">
        <v>331</v>
      </c>
      <c r="E54" s="5" t="s">
        <v>115</v>
      </c>
      <c r="F54" s="27" t="s">
        <v>344</v>
      </c>
      <c r="G54" s="41" t="s">
        <v>345</v>
      </c>
      <c r="H54" s="5" t="s">
        <v>63</v>
      </c>
      <c r="I54" s="35" t="s">
        <v>207</v>
      </c>
      <c r="J54" s="27" t="s">
        <v>259</v>
      </c>
      <c r="K54" s="7" t="s">
        <v>209</v>
      </c>
      <c r="L54" s="7" t="s">
        <v>209</v>
      </c>
      <c r="M54" s="7" t="s">
        <v>209</v>
      </c>
      <c r="N54" s="7" t="s">
        <v>209</v>
      </c>
      <c r="O54" s="5" t="str">
        <f t="shared" si="2"/>
        <v>Not yet complete</v>
      </c>
      <c r="P54" s="8"/>
      <c r="Q54" s="9"/>
      <c r="R54" s="8"/>
    </row>
    <row r="55" spans="1:18" ht="67.95" customHeight="1" x14ac:dyDescent="0.3">
      <c r="A55" s="4">
        <v>46371</v>
      </c>
      <c r="B55" s="5" t="s">
        <v>221</v>
      </c>
      <c r="C55" s="6" t="s">
        <v>203</v>
      </c>
      <c r="D55" s="5" t="s">
        <v>331</v>
      </c>
      <c r="E55" s="5" t="s">
        <v>117</v>
      </c>
      <c r="F55" s="27" t="s">
        <v>346</v>
      </c>
      <c r="G55" s="41" t="s">
        <v>347</v>
      </c>
      <c r="H55" s="5" t="s">
        <v>63</v>
      </c>
      <c r="I55" s="35" t="s">
        <v>207</v>
      </c>
      <c r="J55" s="27" t="s">
        <v>259</v>
      </c>
      <c r="K55" s="7" t="s">
        <v>209</v>
      </c>
      <c r="L55" s="7" t="s">
        <v>209</v>
      </c>
      <c r="M55" s="7" t="s">
        <v>209</v>
      </c>
      <c r="N55" s="7" t="s">
        <v>209</v>
      </c>
      <c r="O55" s="5" t="str">
        <f t="shared" si="2"/>
        <v>Not yet complete</v>
      </c>
      <c r="P55" s="8"/>
      <c r="Q55" s="9"/>
      <c r="R55" s="8"/>
    </row>
    <row r="56" spans="1:18" ht="67.95" customHeight="1" x14ac:dyDescent="0.3">
      <c r="A56" s="4">
        <v>46372</v>
      </c>
      <c r="B56" s="5" t="s">
        <v>226</v>
      </c>
      <c r="C56" s="6" t="s">
        <v>203</v>
      </c>
      <c r="D56" s="5" t="s">
        <v>331</v>
      </c>
      <c r="E56" s="5" t="s">
        <v>119</v>
      </c>
      <c r="F56" s="27" t="s">
        <v>348</v>
      </c>
      <c r="G56" s="41" t="s">
        <v>349</v>
      </c>
      <c r="H56" s="5" t="s">
        <v>63</v>
      </c>
      <c r="I56" s="35" t="s">
        <v>207</v>
      </c>
      <c r="J56" s="27" t="s">
        <v>259</v>
      </c>
      <c r="K56" s="7" t="s">
        <v>209</v>
      </c>
      <c r="L56" s="7" t="s">
        <v>209</v>
      </c>
      <c r="M56" s="7" t="s">
        <v>209</v>
      </c>
      <c r="N56" s="7" t="s">
        <v>209</v>
      </c>
      <c r="O56" s="5" t="str">
        <f t="shared" si="2"/>
        <v>Not yet complete</v>
      </c>
      <c r="P56" s="8"/>
      <c r="Q56" s="9"/>
      <c r="R56" s="8"/>
    </row>
    <row r="57" spans="1:18" ht="67.95" customHeight="1" x14ac:dyDescent="0.3">
      <c r="A57" s="4">
        <v>46373</v>
      </c>
      <c r="B57" s="5" t="s">
        <v>230</v>
      </c>
      <c r="C57" s="6" t="s">
        <v>203</v>
      </c>
      <c r="D57" s="5" t="s">
        <v>331</v>
      </c>
      <c r="E57" s="5" t="s">
        <v>119</v>
      </c>
      <c r="F57" s="27" t="s">
        <v>350</v>
      </c>
      <c r="G57" s="39" t="s">
        <v>351</v>
      </c>
      <c r="H57" s="5" t="s">
        <v>63</v>
      </c>
      <c r="I57" s="35" t="s">
        <v>207</v>
      </c>
      <c r="J57" s="27" t="s">
        <v>259</v>
      </c>
      <c r="K57" s="7" t="s">
        <v>209</v>
      </c>
      <c r="L57" s="7" t="s">
        <v>209</v>
      </c>
      <c r="M57" s="7" t="s">
        <v>209</v>
      </c>
      <c r="N57" s="7" t="s">
        <v>209</v>
      </c>
      <c r="O57" s="5" t="str">
        <f t="shared" si="2"/>
        <v>Not yet complete</v>
      </c>
      <c r="P57" s="8"/>
      <c r="Q57" s="9"/>
      <c r="R57" s="8"/>
    </row>
    <row r="58" spans="1:18" ht="67.95" customHeight="1" x14ac:dyDescent="0.3">
      <c r="A58" s="4">
        <v>46374</v>
      </c>
      <c r="B58" s="5" t="s">
        <v>235</v>
      </c>
      <c r="C58" s="6" t="s">
        <v>203</v>
      </c>
      <c r="D58" s="5" t="s">
        <v>352</v>
      </c>
      <c r="E58" s="5" t="s">
        <v>353</v>
      </c>
      <c r="F58" s="27" t="s">
        <v>354</v>
      </c>
      <c r="G58" s="41" t="s">
        <v>355</v>
      </c>
      <c r="H58" s="5" t="s">
        <v>63</v>
      </c>
      <c r="I58" s="35" t="s">
        <v>207</v>
      </c>
      <c r="J58" s="27" t="s">
        <v>259</v>
      </c>
      <c r="K58" s="7" t="s">
        <v>209</v>
      </c>
      <c r="L58" s="7" t="s">
        <v>209</v>
      </c>
      <c r="M58" s="7" t="s">
        <v>209</v>
      </c>
      <c r="N58" s="7" t="s">
        <v>209</v>
      </c>
      <c r="O58" s="5" t="str">
        <f t="shared" si="2"/>
        <v>Not yet complete</v>
      </c>
      <c r="P58" s="8"/>
      <c r="Q58" s="9"/>
      <c r="R58" s="8"/>
    </row>
    <row r="59" spans="1:18" ht="67.95" customHeight="1" x14ac:dyDescent="0.3">
      <c r="A59" s="4">
        <v>46375</v>
      </c>
      <c r="B59" s="5" t="s">
        <v>202</v>
      </c>
      <c r="C59" s="6" t="s">
        <v>203</v>
      </c>
      <c r="D59" s="5" t="s">
        <v>352</v>
      </c>
      <c r="E59" s="5" t="s">
        <v>176</v>
      </c>
      <c r="F59" s="27" t="s">
        <v>356</v>
      </c>
      <c r="G59" s="41" t="s">
        <v>357</v>
      </c>
      <c r="H59" s="5" t="s">
        <v>63</v>
      </c>
      <c r="I59" s="35" t="s">
        <v>207</v>
      </c>
      <c r="J59" s="27" t="s">
        <v>259</v>
      </c>
      <c r="K59" s="7" t="s">
        <v>209</v>
      </c>
      <c r="L59" s="7" t="s">
        <v>209</v>
      </c>
      <c r="M59" s="7" t="s">
        <v>209</v>
      </c>
      <c r="N59" s="7" t="s">
        <v>209</v>
      </c>
      <c r="O59" s="5" t="str">
        <f t="shared" si="2"/>
        <v>Not yet complete</v>
      </c>
      <c r="P59" s="8"/>
      <c r="Q59" s="9"/>
      <c r="R59" s="8"/>
    </row>
    <row r="60" spans="1:18" ht="67.95" customHeight="1" x14ac:dyDescent="0.3">
      <c r="A60" s="4">
        <v>46376</v>
      </c>
      <c r="B60" s="5" t="s">
        <v>210</v>
      </c>
      <c r="C60" s="11" t="s">
        <v>22</v>
      </c>
      <c r="D60" s="5" t="s">
        <v>22</v>
      </c>
      <c r="E60" s="5" t="s">
        <v>358</v>
      </c>
      <c r="F60" s="27" t="s">
        <v>265</v>
      </c>
      <c r="G60" s="40" t="s">
        <v>266</v>
      </c>
      <c r="H60" s="5" t="s">
        <v>57</v>
      </c>
      <c r="I60" s="36" t="s">
        <v>215</v>
      </c>
      <c r="J60" s="27" t="s">
        <v>267</v>
      </c>
      <c r="K60" s="7" t="s">
        <v>209</v>
      </c>
      <c r="L60" s="7" t="s">
        <v>209</v>
      </c>
      <c r="M60" s="7" t="s">
        <v>209</v>
      </c>
      <c r="N60" s="7" t="s">
        <v>209</v>
      </c>
      <c r="O60" s="5" t="str">
        <f t="shared" si="2"/>
        <v>Not yet complete</v>
      </c>
      <c r="P60" s="8"/>
      <c r="Q60" s="9"/>
      <c r="R60" s="8"/>
    </row>
    <row r="61" spans="1:18" ht="67.95" customHeight="1" x14ac:dyDescent="0.3">
      <c r="A61" s="4">
        <v>46377</v>
      </c>
      <c r="B61" s="5" t="s">
        <v>217</v>
      </c>
      <c r="C61" s="6" t="s">
        <v>203</v>
      </c>
      <c r="D61" s="5" t="s">
        <v>352</v>
      </c>
      <c r="E61" s="5" t="s">
        <v>179</v>
      </c>
      <c r="F61" s="27" t="s">
        <v>359</v>
      </c>
      <c r="G61" s="41" t="s">
        <v>360</v>
      </c>
      <c r="H61" s="5" t="s">
        <v>63</v>
      </c>
      <c r="I61" s="35" t="s">
        <v>207</v>
      </c>
      <c r="J61" s="27" t="s">
        <v>259</v>
      </c>
      <c r="K61" s="7" t="s">
        <v>209</v>
      </c>
      <c r="L61" s="7" t="s">
        <v>209</v>
      </c>
      <c r="M61" s="7" t="s">
        <v>209</v>
      </c>
      <c r="N61" s="7" t="s">
        <v>209</v>
      </c>
      <c r="O61" s="5" t="str">
        <f t="shared" si="2"/>
        <v>Not yet complete</v>
      </c>
      <c r="P61" s="8"/>
      <c r="Q61" s="9"/>
      <c r="R61" s="8"/>
    </row>
    <row r="62" spans="1:18" ht="67.95" customHeight="1" x14ac:dyDescent="0.3">
      <c r="A62" s="4">
        <v>46378</v>
      </c>
      <c r="B62" s="5" t="s">
        <v>221</v>
      </c>
      <c r="C62" s="6" t="s">
        <v>203</v>
      </c>
      <c r="D62" s="5" t="s">
        <v>352</v>
      </c>
      <c r="E62" s="5" t="s">
        <v>361</v>
      </c>
      <c r="F62" s="27" t="s">
        <v>362</v>
      </c>
      <c r="G62" s="41" t="s">
        <v>363</v>
      </c>
      <c r="H62" s="5" t="s">
        <v>75</v>
      </c>
      <c r="I62" s="37" t="s">
        <v>273</v>
      </c>
      <c r="J62" s="27" t="s">
        <v>274</v>
      </c>
      <c r="K62" s="7" t="s">
        <v>209</v>
      </c>
      <c r="L62" s="7" t="s">
        <v>209</v>
      </c>
      <c r="M62" s="7" t="s">
        <v>209</v>
      </c>
      <c r="N62" s="7" t="s">
        <v>209</v>
      </c>
      <c r="O62" s="5" t="str">
        <f t="shared" si="2"/>
        <v>Not yet complete</v>
      </c>
      <c r="P62" s="8"/>
      <c r="Q62" s="9"/>
      <c r="R62" s="8"/>
    </row>
    <row r="63" spans="1:18" ht="67.95" customHeight="1" x14ac:dyDescent="0.3">
      <c r="A63" s="4">
        <v>46379</v>
      </c>
      <c r="B63" s="5" t="s">
        <v>226</v>
      </c>
      <c r="C63" s="6" t="s">
        <v>203</v>
      </c>
      <c r="D63" s="5" t="s">
        <v>352</v>
      </c>
      <c r="E63" s="5" t="s">
        <v>364</v>
      </c>
      <c r="F63" s="27" t="s">
        <v>365</v>
      </c>
      <c r="G63" s="41" t="s">
        <v>366</v>
      </c>
      <c r="H63" s="5" t="s">
        <v>75</v>
      </c>
      <c r="I63" s="37" t="s">
        <v>273</v>
      </c>
      <c r="J63" s="27" t="s">
        <v>274</v>
      </c>
      <c r="K63" s="7" t="s">
        <v>209</v>
      </c>
      <c r="L63" s="7" t="s">
        <v>209</v>
      </c>
      <c r="M63" s="7" t="s">
        <v>209</v>
      </c>
      <c r="N63" s="7" t="s">
        <v>209</v>
      </c>
      <c r="O63" s="5" t="str">
        <f t="shared" si="2"/>
        <v>Not yet complete</v>
      </c>
      <c r="P63" s="8"/>
      <c r="Q63" s="9"/>
      <c r="R63" s="8"/>
    </row>
    <row r="64" spans="1:18" ht="67.95" customHeight="1" x14ac:dyDescent="0.3">
      <c r="A64" s="4">
        <v>46380</v>
      </c>
      <c r="B64" s="5" t="s">
        <v>230</v>
      </c>
      <c r="C64" s="6" t="s">
        <v>203</v>
      </c>
      <c r="D64" s="5" t="s">
        <v>352</v>
      </c>
      <c r="E64" s="5" t="s">
        <v>367</v>
      </c>
      <c r="F64" s="27" t="s">
        <v>368</v>
      </c>
      <c r="G64" s="41" t="s">
        <v>369</v>
      </c>
      <c r="H64" s="5" t="s">
        <v>75</v>
      </c>
      <c r="I64" s="37" t="s">
        <v>273</v>
      </c>
      <c r="J64" s="27" t="s">
        <v>274</v>
      </c>
      <c r="K64" s="7" t="s">
        <v>209</v>
      </c>
      <c r="L64" s="7" t="s">
        <v>209</v>
      </c>
      <c r="M64" s="7" t="s">
        <v>209</v>
      </c>
      <c r="N64" s="7" t="s">
        <v>209</v>
      </c>
      <c r="O64" s="5" t="str">
        <f t="shared" si="2"/>
        <v>Not yet complete</v>
      </c>
      <c r="P64" s="8"/>
      <c r="Q64" s="9"/>
      <c r="R64" s="8"/>
    </row>
    <row r="65" spans="1:18" ht="67.95" customHeight="1" x14ac:dyDescent="0.3">
      <c r="A65" s="4">
        <v>46381</v>
      </c>
      <c r="B65" s="5" t="s">
        <v>235</v>
      </c>
      <c r="C65" s="6" t="s">
        <v>203</v>
      </c>
      <c r="D65" s="5" t="s">
        <v>352</v>
      </c>
      <c r="E65" s="5" t="s">
        <v>370</v>
      </c>
      <c r="F65" s="27" t="s">
        <v>371</v>
      </c>
      <c r="G65" s="41" t="s">
        <v>372</v>
      </c>
      <c r="H65" s="5" t="s">
        <v>75</v>
      </c>
      <c r="I65" s="37" t="s">
        <v>273</v>
      </c>
      <c r="J65" s="27" t="s">
        <v>274</v>
      </c>
      <c r="K65" s="7" t="s">
        <v>209</v>
      </c>
      <c r="L65" s="7" t="s">
        <v>209</v>
      </c>
      <c r="M65" s="7" t="s">
        <v>209</v>
      </c>
      <c r="N65" s="7" t="s">
        <v>209</v>
      </c>
      <c r="O65" s="5" t="str">
        <f t="shared" si="2"/>
        <v>Not yet complete</v>
      </c>
      <c r="P65" s="8"/>
      <c r="Q65" s="9"/>
      <c r="R65" s="8"/>
    </row>
    <row r="66" spans="1:18" ht="67.95" customHeight="1" x14ac:dyDescent="0.3">
      <c r="A66" s="4">
        <v>46382</v>
      </c>
      <c r="B66" s="5" t="s">
        <v>202</v>
      </c>
      <c r="C66" s="6" t="s">
        <v>203</v>
      </c>
      <c r="D66" s="5" t="s">
        <v>352</v>
      </c>
      <c r="E66" s="5" t="s">
        <v>373</v>
      </c>
      <c r="F66" s="27" t="s">
        <v>374</v>
      </c>
      <c r="G66" s="41" t="s">
        <v>375</v>
      </c>
      <c r="H66" s="5" t="s">
        <v>75</v>
      </c>
      <c r="I66" s="37" t="s">
        <v>273</v>
      </c>
      <c r="J66" s="27" t="s">
        <v>274</v>
      </c>
      <c r="K66" s="7" t="s">
        <v>209</v>
      </c>
      <c r="L66" s="7" t="s">
        <v>209</v>
      </c>
      <c r="M66" s="7" t="s">
        <v>209</v>
      </c>
      <c r="N66" s="7" t="s">
        <v>209</v>
      </c>
      <c r="O66" s="5" t="str">
        <f t="shared" si="2"/>
        <v>Not yet complete</v>
      </c>
      <c r="P66" s="8"/>
      <c r="Q66" s="9"/>
      <c r="R66" s="8"/>
    </row>
    <row r="67" spans="1:18" ht="67.95" customHeight="1" x14ac:dyDescent="0.3">
      <c r="A67" s="4">
        <v>46383</v>
      </c>
      <c r="B67" s="5" t="s">
        <v>210</v>
      </c>
      <c r="C67" s="11" t="s">
        <v>22</v>
      </c>
      <c r="D67" s="5" t="s">
        <v>22</v>
      </c>
      <c r="E67" s="5" t="s">
        <v>376</v>
      </c>
      <c r="F67" s="27" t="s">
        <v>265</v>
      </c>
      <c r="G67" s="40" t="s">
        <v>266</v>
      </c>
      <c r="H67" s="5" t="s">
        <v>57</v>
      </c>
      <c r="I67" s="36" t="s">
        <v>215</v>
      </c>
      <c r="J67" s="27" t="s">
        <v>267</v>
      </c>
      <c r="K67" s="7" t="s">
        <v>209</v>
      </c>
      <c r="L67" s="7" t="s">
        <v>209</v>
      </c>
      <c r="M67" s="7" t="s">
        <v>209</v>
      </c>
      <c r="N67" s="7" t="s">
        <v>209</v>
      </c>
      <c r="O67" s="5" t="str">
        <f t="shared" ref="O67:O98" si="3">IF(COUNTIF(K67:N67,"Yes")=4,"Complete","Not yet complete")</f>
        <v>Not yet complete</v>
      </c>
      <c r="P67" s="8"/>
      <c r="Q67" s="9"/>
      <c r="R67" s="8"/>
    </row>
    <row r="68" spans="1:18" ht="67.95" customHeight="1" x14ac:dyDescent="0.3">
      <c r="A68" s="4">
        <v>46384</v>
      </c>
      <c r="B68" s="5" t="s">
        <v>217</v>
      </c>
      <c r="C68" s="6" t="s">
        <v>203</v>
      </c>
      <c r="D68" s="5" t="s">
        <v>352</v>
      </c>
      <c r="E68" s="5" t="s">
        <v>377</v>
      </c>
      <c r="F68" s="27" t="s">
        <v>378</v>
      </c>
      <c r="G68" s="41" t="s">
        <v>379</v>
      </c>
      <c r="H68" s="5" t="s">
        <v>75</v>
      </c>
      <c r="I68" s="37" t="s">
        <v>273</v>
      </c>
      <c r="J68" s="27" t="s">
        <v>274</v>
      </c>
      <c r="K68" s="7" t="s">
        <v>209</v>
      </c>
      <c r="L68" s="7" t="s">
        <v>209</v>
      </c>
      <c r="M68" s="7" t="s">
        <v>209</v>
      </c>
      <c r="N68" s="7" t="s">
        <v>209</v>
      </c>
      <c r="O68" s="5" t="str">
        <f t="shared" si="3"/>
        <v>Not yet complete</v>
      </c>
      <c r="P68" s="8"/>
      <c r="Q68" s="9"/>
      <c r="R68" s="8"/>
    </row>
    <row r="69" spans="1:18" ht="67.95" customHeight="1" x14ac:dyDescent="0.3">
      <c r="A69" s="4">
        <v>46385</v>
      </c>
      <c r="B69" s="5" t="s">
        <v>221</v>
      </c>
      <c r="C69" s="6" t="s">
        <v>203</v>
      </c>
      <c r="D69" s="5" t="s">
        <v>352</v>
      </c>
      <c r="E69" s="5" t="s">
        <v>377</v>
      </c>
      <c r="F69" s="27" t="s">
        <v>380</v>
      </c>
      <c r="G69" s="41" t="s">
        <v>381</v>
      </c>
      <c r="H69" s="5" t="s">
        <v>75</v>
      </c>
      <c r="I69" s="37" t="s">
        <v>273</v>
      </c>
      <c r="J69" s="27" t="s">
        <v>274</v>
      </c>
      <c r="K69" s="7" t="s">
        <v>209</v>
      </c>
      <c r="L69" s="7" t="s">
        <v>209</v>
      </c>
      <c r="M69" s="7" t="s">
        <v>209</v>
      </c>
      <c r="N69" s="7" t="s">
        <v>209</v>
      </c>
      <c r="O69" s="5" t="str">
        <f t="shared" si="3"/>
        <v>Not yet complete</v>
      </c>
      <c r="P69" s="8"/>
      <c r="Q69" s="9"/>
      <c r="R69" s="8"/>
    </row>
    <row r="70" spans="1:18" ht="67.95" customHeight="1" x14ac:dyDescent="0.3">
      <c r="A70" s="4">
        <v>46386</v>
      </c>
      <c r="B70" s="5" t="s">
        <v>226</v>
      </c>
      <c r="C70" s="6" t="s">
        <v>203</v>
      </c>
      <c r="D70" s="5" t="s">
        <v>352</v>
      </c>
      <c r="E70" s="5" t="s">
        <v>382</v>
      </c>
      <c r="F70" s="27" t="s">
        <v>383</v>
      </c>
      <c r="G70" s="41" t="s">
        <v>384</v>
      </c>
      <c r="H70" s="5" t="s">
        <v>75</v>
      </c>
      <c r="I70" s="37" t="s">
        <v>273</v>
      </c>
      <c r="J70" s="27" t="s">
        <v>274</v>
      </c>
      <c r="K70" s="7" t="s">
        <v>209</v>
      </c>
      <c r="L70" s="7" t="s">
        <v>209</v>
      </c>
      <c r="M70" s="7" t="s">
        <v>209</v>
      </c>
      <c r="N70" s="7" t="s">
        <v>209</v>
      </c>
      <c r="O70" s="5" t="str">
        <f t="shared" si="3"/>
        <v>Not yet complete</v>
      </c>
      <c r="P70" s="8"/>
      <c r="Q70" s="9"/>
      <c r="R70" s="8"/>
    </row>
    <row r="71" spans="1:18" ht="67.95" customHeight="1" x14ac:dyDescent="0.3">
      <c r="A71" s="4">
        <v>46387</v>
      </c>
      <c r="B71" s="5" t="s">
        <v>230</v>
      </c>
      <c r="C71" s="6" t="s">
        <v>203</v>
      </c>
      <c r="D71" s="5" t="s">
        <v>352</v>
      </c>
      <c r="E71" s="5" t="s">
        <v>385</v>
      </c>
      <c r="F71" s="27" t="s">
        <v>386</v>
      </c>
      <c r="G71" s="41" t="s">
        <v>387</v>
      </c>
      <c r="H71" s="5" t="s">
        <v>75</v>
      </c>
      <c r="I71" s="37" t="s">
        <v>273</v>
      </c>
      <c r="J71" s="27" t="s">
        <v>274</v>
      </c>
      <c r="K71" s="7" t="s">
        <v>209</v>
      </c>
      <c r="L71" s="7" t="s">
        <v>209</v>
      </c>
      <c r="M71" s="7" t="s">
        <v>209</v>
      </c>
      <c r="N71" s="7" t="s">
        <v>209</v>
      </c>
      <c r="O71" s="5" t="str">
        <f t="shared" si="3"/>
        <v>Not yet complete</v>
      </c>
      <c r="P71" s="8"/>
      <c r="Q71" s="9"/>
      <c r="R71" s="8"/>
    </row>
    <row r="72" spans="1:18" ht="67.95" customHeight="1" x14ac:dyDescent="0.3">
      <c r="A72" s="4">
        <v>46388</v>
      </c>
      <c r="B72" s="5" t="s">
        <v>235</v>
      </c>
      <c r="C72" s="6" t="s">
        <v>203</v>
      </c>
      <c r="D72" s="5" t="s">
        <v>352</v>
      </c>
      <c r="E72" s="5" t="s">
        <v>388</v>
      </c>
      <c r="F72" s="27" t="s">
        <v>389</v>
      </c>
      <c r="G72" s="39" t="s">
        <v>390</v>
      </c>
      <c r="H72" s="5" t="s">
        <v>75</v>
      </c>
      <c r="I72" s="37" t="s">
        <v>273</v>
      </c>
      <c r="J72" s="27" t="s">
        <v>274</v>
      </c>
      <c r="K72" s="7" t="s">
        <v>209</v>
      </c>
      <c r="L72" s="7" t="s">
        <v>209</v>
      </c>
      <c r="M72" s="7" t="s">
        <v>209</v>
      </c>
      <c r="N72" s="7" t="s">
        <v>209</v>
      </c>
      <c r="O72" s="5" t="str">
        <f t="shared" si="3"/>
        <v>Not yet complete</v>
      </c>
      <c r="P72" s="8"/>
      <c r="Q72" s="9"/>
      <c r="R72" s="8"/>
    </row>
    <row r="73" spans="1:18" ht="67.95" customHeight="1" x14ac:dyDescent="0.3">
      <c r="A73" s="4">
        <v>46389</v>
      </c>
      <c r="B73" s="5" t="s">
        <v>202</v>
      </c>
      <c r="C73" s="6" t="s">
        <v>203</v>
      </c>
      <c r="D73" s="5" t="s">
        <v>352</v>
      </c>
      <c r="E73" s="5" t="s">
        <v>391</v>
      </c>
      <c r="F73" s="27" t="s">
        <v>392</v>
      </c>
      <c r="G73" s="41" t="s">
        <v>393</v>
      </c>
      <c r="H73" s="5" t="s">
        <v>75</v>
      </c>
      <c r="I73" s="37" t="s">
        <v>273</v>
      </c>
      <c r="J73" s="27" t="s">
        <v>274</v>
      </c>
      <c r="K73" s="7" t="s">
        <v>209</v>
      </c>
      <c r="L73" s="7" t="s">
        <v>209</v>
      </c>
      <c r="M73" s="7" t="s">
        <v>209</v>
      </c>
      <c r="N73" s="7" t="s">
        <v>209</v>
      </c>
      <c r="O73" s="5" t="str">
        <f t="shared" si="3"/>
        <v>Not yet complete</v>
      </c>
      <c r="P73" s="8"/>
      <c r="Q73" s="9"/>
      <c r="R73" s="8"/>
    </row>
    <row r="74" spans="1:18" ht="67.95" customHeight="1" x14ac:dyDescent="0.3">
      <c r="A74" s="4">
        <v>46390</v>
      </c>
      <c r="B74" s="5" t="s">
        <v>210</v>
      </c>
      <c r="C74" s="11" t="s">
        <v>22</v>
      </c>
      <c r="D74" s="5" t="s">
        <v>22</v>
      </c>
      <c r="E74" s="5" t="s">
        <v>394</v>
      </c>
      <c r="F74" s="27" t="s">
        <v>265</v>
      </c>
      <c r="G74" s="40" t="s">
        <v>266</v>
      </c>
      <c r="H74" s="5" t="s">
        <v>57</v>
      </c>
      <c r="I74" s="36" t="s">
        <v>215</v>
      </c>
      <c r="J74" s="27" t="s">
        <v>267</v>
      </c>
      <c r="K74" s="7" t="s">
        <v>209</v>
      </c>
      <c r="L74" s="7" t="s">
        <v>209</v>
      </c>
      <c r="M74" s="7" t="s">
        <v>209</v>
      </c>
      <c r="N74" s="7" t="s">
        <v>209</v>
      </c>
      <c r="O74" s="5" t="str">
        <f t="shared" si="3"/>
        <v>Not yet complete</v>
      </c>
      <c r="P74" s="8"/>
      <c r="Q74" s="9"/>
      <c r="R74" s="8"/>
    </row>
    <row r="75" spans="1:18" ht="67.95" customHeight="1" x14ac:dyDescent="0.3">
      <c r="A75" s="4">
        <v>46391</v>
      </c>
      <c r="B75" s="5" t="s">
        <v>217</v>
      </c>
      <c r="C75" s="6" t="s">
        <v>203</v>
      </c>
      <c r="D75" s="5" t="s">
        <v>352</v>
      </c>
      <c r="E75" s="5" t="s">
        <v>391</v>
      </c>
      <c r="F75" s="27" t="s">
        <v>395</v>
      </c>
      <c r="G75" s="41" t="s">
        <v>393</v>
      </c>
      <c r="H75" s="5" t="s">
        <v>75</v>
      </c>
      <c r="I75" s="37" t="s">
        <v>273</v>
      </c>
      <c r="J75" s="27" t="s">
        <v>274</v>
      </c>
      <c r="K75" s="7" t="s">
        <v>209</v>
      </c>
      <c r="L75" s="7" t="s">
        <v>209</v>
      </c>
      <c r="M75" s="7" t="s">
        <v>209</v>
      </c>
      <c r="N75" s="7" t="s">
        <v>209</v>
      </c>
      <c r="O75" s="5" t="str">
        <f t="shared" si="3"/>
        <v>Not yet complete</v>
      </c>
      <c r="P75" s="8"/>
      <c r="Q75" s="9"/>
      <c r="R75" s="8"/>
    </row>
    <row r="76" spans="1:18" ht="67.95" customHeight="1" x14ac:dyDescent="0.3">
      <c r="A76" s="4">
        <v>46392</v>
      </c>
      <c r="B76" s="5" t="s">
        <v>221</v>
      </c>
      <c r="C76" s="12" t="s">
        <v>396</v>
      </c>
      <c r="D76" s="5" t="s">
        <v>397</v>
      </c>
      <c r="E76" s="5" t="s">
        <v>398</v>
      </c>
      <c r="F76" s="27" t="s">
        <v>399</v>
      </c>
      <c r="G76" s="40" t="s">
        <v>400</v>
      </c>
      <c r="H76" s="5" t="s">
        <v>57</v>
      </c>
      <c r="I76" s="36" t="s">
        <v>215</v>
      </c>
      <c r="J76" s="27" t="s">
        <v>401</v>
      </c>
      <c r="K76" s="7" t="s">
        <v>209</v>
      </c>
      <c r="L76" s="7" t="s">
        <v>209</v>
      </c>
      <c r="M76" s="7" t="s">
        <v>209</v>
      </c>
      <c r="N76" s="7" t="s">
        <v>209</v>
      </c>
      <c r="O76" s="5" t="str">
        <f t="shared" si="3"/>
        <v>Not yet complete</v>
      </c>
      <c r="P76" s="8"/>
      <c r="Q76" s="9"/>
      <c r="R76" s="8"/>
    </row>
    <row r="77" spans="1:18" ht="67.95" customHeight="1" x14ac:dyDescent="0.3">
      <c r="A77" s="4">
        <v>46393</v>
      </c>
      <c r="B77" s="5" t="s">
        <v>226</v>
      </c>
      <c r="C77" s="12" t="s">
        <v>396</v>
      </c>
      <c r="D77" s="5" t="s">
        <v>397</v>
      </c>
      <c r="E77" s="5" t="s">
        <v>398</v>
      </c>
      <c r="F77" s="27" t="s">
        <v>402</v>
      </c>
      <c r="G77" s="40" t="s">
        <v>403</v>
      </c>
      <c r="H77" s="5" t="s">
        <v>57</v>
      </c>
      <c r="I77" s="36" t="s">
        <v>215</v>
      </c>
      <c r="J77" s="27" t="s">
        <v>401</v>
      </c>
      <c r="K77" s="7" t="s">
        <v>209</v>
      </c>
      <c r="L77" s="7" t="s">
        <v>209</v>
      </c>
      <c r="M77" s="7" t="s">
        <v>209</v>
      </c>
      <c r="N77" s="7" t="s">
        <v>209</v>
      </c>
      <c r="O77" s="5" t="str">
        <f t="shared" si="3"/>
        <v>Not yet complete</v>
      </c>
      <c r="P77" s="8"/>
      <c r="Q77" s="9"/>
      <c r="R77" s="8"/>
    </row>
    <row r="78" spans="1:18" ht="67.95" customHeight="1" x14ac:dyDescent="0.3">
      <c r="A78" s="4">
        <v>46394</v>
      </c>
      <c r="B78" s="5" t="s">
        <v>230</v>
      </c>
      <c r="C78" s="12" t="s">
        <v>396</v>
      </c>
      <c r="D78" s="5" t="s">
        <v>397</v>
      </c>
      <c r="E78" s="5" t="s">
        <v>398</v>
      </c>
      <c r="F78" s="27" t="s">
        <v>404</v>
      </c>
      <c r="G78" s="40" t="s">
        <v>405</v>
      </c>
      <c r="H78" s="5" t="s">
        <v>57</v>
      </c>
      <c r="I78" s="36" t="s">
        <v>215</v>
      </c>
      <c r="J78" s="27" t="s">
        <v>401</v>
      </c>
      <c r="K78" s="7" t="s">
        <v>209</v>
      </c>
      <c r="L78" s="7" t="s">
        <v>209</v>
      </c>
      <c r="M78" s="7" t="s">
        <v>209</v>
      </c>
      <c r="N78" s="7" t="s">
        <v>209</v>
      </c>
      <c r="O78" s="5" t="str">
        <f t="shared" si="3"/>
        <v>Not yet complete</v>
      </c>
      <c r="P78" s="8"/>
      <c r="Q78" s="9"/>
      <c r="R78" s="8"/>
    </row>
    <row r="79" spans="1:18" ht="67.95" customHeight="1" x14ac:dyDescent="0.3">
      <c r="A79" s="4">
        <v>46395</v>
      </c>
      <c r="B79" s="5" t="s">
        <v>235</v>
      </c>
      <c r="C79" s="12" t="s">
        <v>396</v>
      </c>
      <c r="D79" s="5" t="s">
        <v>397</v>
      </c>
      <c r="E79" s="5" t="s">
        <v>398</v>
      </c>
      <c r="F79" s="27" t="s">
        <v>406</v>
      </c>
      <c r="G79" s="40" t="s">
        <v>407</v>
      </c>
      <c r="H79" s="5" t="s">
        <v>57</v>
      </c>
      <c r="I79" s="36" t="s">
        <v>215</v>
      </c>
      <c r="J79" s="27" t="s">
        <v>401</v>
      </c>
      <c r="K79" s="7" t="s">
        <v>209</v>
      </c>
      <c r="L79" s="7" t="s">
        <v>209</v>
      </c>
      <c r="M79" s="7" t="s">
        <v>209</v>
      </c>
      <c r="N79" s="7" t="s">
        <v>209</v>
      </c>
      <c r="O79" s="5" t="str">
        <f t="shared" si="3"/>
        <v>Not yet complete</v>
      </c>
      <c r="P79" s="8"/>
      <c r="Q79" s="9"/>
      <c r="R79" s="8"/>
    </row>
    <row r="80" spans="1:18" ht="67.95" customHeight="1" x14ac:dyDescent="0.3">
      <c r="A80" s="4">
        <v>46396</v>
      </c>
      <c r="B80" s="5" t="s">
        <v>202</v>
      </c>
      <c r="C80" s="12" t="s">
        <v>396</v>
      </c>
      <c r="D80" s="5" t="s">
        <v>397</v>
      </c>
      <c r="E80" s="5" t="s">
        <v>398</v>
      </c>
      <c r="F80" s="27" t="s">
        <v>408</v>
      </c>
      <c r="G80" s="40" t="s">
        <v>409</v>
      </c>
      <c r="H80" s="5" t="s">
        <v>57</v>
      </c>
      <c r="I80" s="36" t="s">
        <v>215</v>
      </c>
      <c r="J80" s="27" t="s">
        <v>401</v>
      </c>
      <c r="K80" s="7" t="s">
        <v>209</v>
      </c>
      <c r="L80" s="7" t="s">
        <v>209</v>
      </c>
      <c r="M80" s="7" t="s">
        <v>209</v>
      </c>
      <c r="N80" s="7" t="s">
        <v>209</v>
      </c>
      <c r="O80" s="5" t="str">
        <f t="shared" si="3"/>
        <v>Not yet complete</v>
      </c>
      <c r="P80" s="8"/>
      <c r="Q80" s="9"/>
      <c r="R80" s="8"/>
    </row>
    <row r="81" spans="1:18" ht="67.95" customHeight="1" x14ac:dyDescent="0.3">
      <c r="A81" s="4">
        <v>46397</v>
      </c>
      <c r="B81" s="5" t="s">
        <v>210</v>
      </c>
      <c r="C81" s="10" t="s">
        <v>211</v>
      </c>
      <c r="D81" s="5" t="s">
        <v>397</v>
      </c>
      <c r="E81" s="5" t="s">
        <v>410</v>
      </c>
      <c r="F81" s="27" t="s">
        <v>411</v>
      </c>
      <c r="G81" s="40" t="s">
        <v>412</v>
      </c>
      <c r="H81" s="5" t="s">
        <v>75</v>
      </c>
      <c r="I81" s="38" t="s">
        <v>413</v>
      </c>
      <c r="J81" s="27" t="s">
        <v>414</v>
      </c>
      <c r="K81" s="7" t="s">
        <v>209</v>
      </c>
      <c r="L81" s="7" t="s">
        <v>209</v>
      </c>
      <c r="M81" s="7" t="s">
        <v>209</v>
      </c>
      <c r="N81" s="7" t="s">
        <v>209</v>
      </c>
      <c r="O81" s="5" t="str">
        <f t="shared" si="3"/>
        <v>Not yet complete</v>
      </c>
      <c r="P81" s="8"/>
      <c r="Q81" s="9"/>
      <c r="R81" s="8"/>
    </row>
    <row r="82" spans="1:18" ht="67.95" customHeight="1" x14ac:dyDescent="0.3">
      <c r="A82" s="4">
        <v>46398</v>
      </c>
      <c r="B82" s="5" t="s">
        <v>217</v>
      </c>
      <c r="C82" s="12" t="s">
        <v>396</v>
      </c>
      <c r="D82" s="5" t="s">
        <v>397</v>
      </c>
      <c r="E82" s="5" t="s">
        <v>398</v>
      </c>
      <c r="F82" s="27" t="s">
        <v>415</v>
      </c>
      <c r="G82" s="40" t="s">
        <v>416</v>
      </c>
      <c r="H82" s="5" t="s">
        <v>57</v>
      </c>
      <c r="I82" s="36" t="s">
        <v>215</v>
      </c>
      <c r="J82" s="27" t="s">
        <v>401</v>
      </c>
      <c r="K82" s="7" t="s">
        <v>209</v>
      </c>
      <c r="L82" s="7" t="s">
        <v>209</v>
      </c>
      <c r="M82" s="7" t="s">
        <v>209</v>
      </c>
      <c r="N82" s="7" t="s">
        <v>209</v>
      </c>
      <c r="O82" s="5" t="str">
        <f t="shared" si="3"/>
        <v>Not yet complete</v>
      </c>
      <c r="P82" s="8"/>
      <c r="Q82" s="9"/>
      <c r="R82" s="8"/>
    </row>
    <row r="83" spans="1:18" ht="67.95" customHeight="1" x14ac:dyDescent="0.3">
      <c r="A83" s="4">
        <v>46399</v>
      </c>
      <c r="B83" s="5" t="s">
        <v>221</v>
      </c>
      <c r="C83" s="12" t="s">
        <v>396</v>
      </c>
      <c r="D83" s="5" t="s">
        <v>397</v>
      </c>
      <c r="E83" s="5" t="s">
        <v>398</v>
      </c>
      <c r="F83" s="27" t="s">
        <v>417</v>
      </c>
      <c r="G83" s="40" t="s">
        <v>418</v>
      </c>
      <c r="H83" s="5" t="s">
        <v>57</v>
      </c>
      <c r="I83" s="36" t="s">
        <v>215</v>
      </c>
      <c r="J83" s="27" t="s">
        <v>401</v>
      </c>
      <c r="K83" s="7" t="s">
        <v>209</v>
      </c>
      <c r="L83" s="7" t="s">
        <v>209</v>
      </c>
      <c r="M83" s="7" t="s">
        <v>209</v>
      </c>
      <c r="N83" s="7" t="s">
        <v>209</v>
      </c>
      <c r="O83" s="5" t="str">
        <f t="shared" si="3"/>
        <v>Not yet complete</v>
      </c>
      <c r="P83" s="8"/>
      <c r="Q83" s="9"/>
      <c r="R83" s="8"/>
    </row>
    <row r="84" spans="1:18" ht="67.95" customHeight="1" x14ac:dyDescent="0.3">
      <c r="A84" s="4">
        <v>46400</v>
      </c>
      <c r="B84" s="5" t="s">
        <v>226</v>
      </c>
      <c r="C84" s="12" t="s">
        <v>396</v>
      </c>
      <c r="D84" s="5" t="s">
        <v>397</v>
      </c>
      <c r="E84" s="5" t="s">
        <v>398</v>
      </c>
      <c r="F84" s="27" t="s">
        <v>419</v>
      </c>
      <c r="G84" s="40" t="s">
        <v>420</v>
      </c>
      <c r="H84" s="5" t="s">
        <v>57</v>
      </c>
      <c r="I84" s="36" t="s">
        <v>215</v>
      </c>
      <c r="J84" s="27" t="s">
        <v>401</v>
      </c>
      <c r="K84" s="7" t="s">
        <v>209</v>
      </c>
      <c r="L84" s="7" t="s">
        <v>209</v>
      </c>
      <c r="M84" s="7" t="s">
        <v>209</v>
      </c>
      <c r="N84" s="7" t="s">
        <v>209</v>
      </c>
      <c r="O84" s="5" t="str">
        <f t="shared" si="3"/>
        <v>Not yet complete</v>
      </c>
      <c r="P84" s="8"/>
      <c r="Q84" s="9"/>
      <c r="R84" s="8"/>
    </row>
    <row r="85" spans="1:18" ht="67.95" customHeight="1" x14ac:dyDescent="0.3">
      <c r="A85" s="4">
        <v>46401</v>
      </c>
      <c r="B85" s="5" t="s">
        <v>230</v>
      </c>
      <c r="C85" s="12" t="s">
        <v>396</v>
      </c>
      <c r="D85" s="5" t="s">
        <v>397</v>
      </c>
      <c r="E85" s="5" t="s">
        <v>398</v>
      </c>
      <c r="F85" s="27" t="s">
        <v>421</v>
      </c>
      <c r="G85" s="40" t="s">
        <v>422</v>
      </c>
      <c r="H85" s="5" t="s">
        <v>57</v>
      </c>
      <c r="I85" s="36" t="s">
        <v>215</v>
      </c>
      <c r="J85" s="27" t="s">
        <v>401</v>
      </c>
      <c r="K85" s="7" t="s">
        <v>209</v>
      </c>
      <c r="L85" s="7" t="s">
        <v>209</v>
      </c>
      <c r="M85" s="7" t="s">
        <v>209</v>
      </c>
      <c r="N85" s="7" t="s">
        <v>209</v>
      </c>
      <c r="O85" s="5" t="str">
        <f t="shared" si="3"/>
        <v>Not yet complete</v>
      </c>
      <c r="P85" s="8"/>
      <c r="Q85" s="9"/>
      <c r="R85" s="8"/>
    </row>
    <row r="86" spans="1:18" ht="67.95" customHeight="1" x14ac:dyDescent="0.3">
      <c r="A86" s="4">
        <v>46402</v>
      </c>
      <c r="B86" s="5" t="s">
        <v>235</v>
      </c>
      <c r="C86" s="12" t="s">
        <v>396</v>
      </c>
      <c r="D86" s="5" t="s">
        <v>397</v>
      </c>
      <c r="E86" s="5" t="s">
        <v>398</v>
      </c>
      <c r="F86" s="27" t="s">
        <v>423</v>
      </c>
      <c r="G86" s="40" t="s">
        <v>424</v>
      </c>
      <c r="H86" s="5" t="s">
        <v>57</v>
      </c>
      <c r="I86" s="36" t="s">
        <v>215</v>
      </c>
      <c r="J86" s="27" t="s">
        <v>401</v>
      </c>
      <c r="K86" s="7" t="s">
        <v>209</v>
      </c>
      <c r="L86" s="7" t="s">
        <v>209</v>
      </c>
      <c r="M86" s="7" t="s">
        <v>209</v>
      </c>
      <c r="N86" s="7" t="s">
        <v>209</v>
      </c>
      <c r="O86" s="5" t="str">
        <f t="shared" si="3"/>
        <v>Not yet complete</v>
      </c>
      <c r="P86" s="8"/>
      <c r="Q86" s="9"/>
      <c r="R86" s="8"/>
    </row>
    <row r="87" spans="1:18" ht="67.95" customHeight="1" x14ac:dyDescent="0.3">
      <c r="A87" s="4">
        <v>46403</v>
      </c>
      <c r="B87" s="5" t="s">
        <v>202</v>
      </c>
      <c r="C87" s="13" t="s">
        <v>425</v>
      </c>
      <c r="D87" s="5" t="s">
        <v>397</v>
      </c>
      <c r="E87" s="5" t="s">
        <v>184</v>
      </c>
      <c r="F87" s="27" t="s">
        <v>426</v>
      </c>
      <c r="G87" s="40" t="s">
        <v>427</v>
      </c>
      <c r="H87" s="5" t="s">
        <v>63</v>
      </c>
      <c r="I87" s="35" t="s">
        <v>207</v>
      </c>
      <c r="J87" s="27" t="s">
        <v>428</v>
      </c>
      <c r="K87" s="7" t="s">
        <v>209</v>
      </c>
      <c r="L87" s="7" t="s">
        <v>209</v>
      </c>
      <c r="M87" s="7" t="s">
        <v>209</v>
      </c>
      <c r="N87" s="7" t="s">
        <v>209</v>
      </c>
      <c r="O87" s="5" t="str">
        <f t="shared" si="3"/>
        <v>Not yet complete</v>
      </c>
      <c r="P87" s="8"/>
      <c r="Q87" s="9"/>
      <c r="R87" s="8"/>
    </row>
    <row r="88" spans="1:18" ht="67.95" customHeight="1" x14ac:dyDescent="0.3">
      <c r="A88" s="4">
        <v>46404</v>
      </c>
      <c r="B88" s="5" t="s">
        <v>210</v>
      </c>
      <c r="C88" s="10" t="s">
        <v>211</v>
      </c>
      <c r="D88" s="5" t="s">
        <v>397</v>
      </c>
      <c r="E88" s="5" t="s">
        <v>410</v>
      </c>
      <c r="F88" s="27" t="s">
        <v>429</v>
      </c>
      <c r="G88" s="40" t="s">
        <v>430</v>
      </c>
      <c r="H88" s="5" t="s">
        <v>75</v>
      </c>
      <c r="I88" s="38" t="s">
        <v>413</v>
      </c>
      <c r="J88" s="27" t="s">
        <v>431</v>
      </c>
      <c r="K88" s="7" t="s">
        <v>209</v>
      </c>
      <c r="L88" s="7" t="s">
        <v>209</v>
      </c>
      <c r="M88" s="7" t="s">
        <v>209</v>
      </c>
      <c r="N88" s="7" t="s">
        <v>209</v>
      </c>
      <c r="O88" s="5" t="str">
        <f t="shared" si="3"/>
        <v>Not yet complete</v>
      </c>
      <c r="P88" s="8"/>
      <c r="Q88" s="9"/>
      <c r="R88" s="8"/>
    </row>
    <row r="89" spans="1:18" ht="67.95" customHeight="1" x14ac:dyDescent="0.3">
      <c r="A89" s="4">
        <v>46405</v>
      </c>
      <c r="B89" s="5" t="s">
        <v>217</v>
      </c>
      <c r="C89" s="13" t="s">
        <v>425</v>
      </c>
      <c r="D89" s="5" t="s">
        <v>397</v>
      </c>
      <c r="E89" s="5" t="s">
        <v>432</v>
      </c>
      <c r="F89" s="27" t="s">
        <v>433</v>
      </c>
      <c r="G89" s="40" t="s">
        <v>434</v>
      </c>
      <c r="H89" s="5" t="s">
        <v>57</v>
      </c>
      <c r="I89" s="36" t="s">
        <v>215</v>
      </c>
      <c r="J89" s="27" t="s">
        <v>401</v>
      </c>
      <c r="K89" s="7" t="s">
        <v>209</v>
      </c>
      <c r="L89" s="7" t="s">
        <v>209</v>
      </c>
      <c r="M89" s="7" t="s">
        <v>209</v>
      </c>
      <c r="N89" s="7" t="s">
        <v>209</v>
      </c>
      <c r="O89" s="5" t="str">
        <f t="shared" si="3"/>
        <v>Not yet complete</v>
      </c>
      <c r="P89" s="8"/>
      <c r="Q89" s="9"/>
      <c r="R89" s="8"/>
    </row>
    <row r="90" spans="1:18" ht="67.95" customHeight="1" x14ac:dyDescent="0.3">
      <c r="A90" s="4">
        <v>46406</v>
      </c>
      <c r="B90" s="5" t="s">
        <v>221</v>
      </c>
      <c r="C90" s="13" t="s">
        <v>425</v>
      </c>
      <c r="D90" s="5" t="s">
        <v>397</v>
      </c>
      <c r="E90" s="5" t="s">
        <v>432</v>
      </c>
      <c r="F90" s="27" t="s">
        <v>435</v>
      </c>
      <c r="G90" s="40" t="s">
        <v>436</v>
      </c>
      <c r="H90" s="5" t="s">
        <v>57</v>
      </c>
      <c r="I90" s="36" t="s">
        <v>215</v>
      </c>
      <c r="J90" s="27" t="s">
        <v>401</v>
      </c>
      <c r="K90" s="7" t="s">
        <v>209</v>
      </c>
      <c r="L90" s="7" t="s">
        <v>209</v>
      </c>
      <c r="M90" s="7" t="s">
        <v>209</v>
      </c>
      <c r="N90" s="7" t="s">
        <v>209</v>
      </c>
      <c r="O90" s="5" t="str">
        <f t="shared" si="3"/>
        <v>Not yet complete</v>
      </c>
      <c r="P90" s="8"/>
      <c r="Q90" s="9"/>
      <c r="R90" s="8"/>
    </row>
    <row r="91" spans="1:18" ht="67.95" customHeight="1" x14ac:dyDescent="0.3">
      <c r="A91" s="4">
        <v>46407</v>
      </c>
      <c r="B91" s="5" t="s">
        <v>226</v>
      </c>
      <c r="C91" s="10" t="s">
        <v>211</v>
      </c>
      <c r="D91" s="5" t="s">
        <v>437</v>
      </c>
      <c r="E91" s="5" t="s">
        <v>438</v>
      </c>
      <c r="F91" s="27" t="s">
        <v>439</v>
      </c>
      <c r="G91" s="40" t="s">
        <v>440</v>
      </c>
      <c r="H91" s="5" t="s">
        <v>57</v>
      </c>
      <c r="I91" s="38" t="s">
        <v>413</v>
      </c>
      <c r="J91" s="27" t="s">
        <v>441</v>
      </c>
      <c r="K91" s="7" t="s">
        <v>209</v>
      </c>
      <c r="L91" s="7" t="s">
        <v>209</v>
      </c>
      <c r="M91" s="7" t="s">
        <v>209</v>
      </c>
      <c r="N91" s="7" t="s">
        <v>209</v>
      </c>
      <c r="O91" s="5" t="str">
        <f t="shared" si="3"/>
        <v>Not yet complete</v>
      </c>
      <c r="P91" s="8"/>
      <c r="Q91" s="9"/>
      <c r="R91" s="8"/>
    </row>
    <row r="92" spans="1:18" ht="67.95" customHeight="1" x14ac:dyDescent="0.3">
      <c r="A92" s="4">
        <v>46408</v>
      </c>
      <c r="B92" s="5" t="s">
        <v>230</v>
      </c>
      <c r="C92" s="13" t="s">
        <v>425</v>
      </c>
      <c r="D92" s="5" t="s">
        <v>437</v>
      </c>
      <c r="E92" s="5" t="s">
        <v>432</v>
      </c>
      <c r="F92" s="27" t="s">
        <v>442</v>
      </c>
      <c r="G92" s="40" t="s">
        <v>443</v>
      </c>
      <c r="H92" s="5" t="s">
        <v>57</v>
      </c>
      <c r="I92" s="38" t="s">
        <v>413</v>
      </c>
      <c r="J92" s="27" t="s">
        <v>444</v>
      </c>
      <c r="K92" s="7" t="s">
        <v>209</v>
      </c>
      <c r="L92" s="7" t="s">
        <v>209</v>
      </c>
      <c r="M92" s="7" t="s">
        <v>209</v>
      </c>
      <c r="N92" s="7" t="s">
        <v>209</v>
      </c>
      <c r="O92" s="5" t="str">
        <f t="shared" si="3"/>
        <v>Not yet complete</v>
      </c>
      <c r="P92" s="8"/>
      <c r="Q92" s="9"/>
      <c r="R92" s="8"/>
    </row>
    <row r="93" spans="1:18" ht="67.95" customHeight="1" x14ac:dyDescent="0.3">
      <c r="A93" s="4">
        <v>46409</v>
      </c>
      <c r="B93" s="5" t="s">
        <v>235</v>
      </c>
      <c r="C93" s="10" t="s">
        <v>211</v>
      </c>
      <c r="D93" s="5" t="s">
        <v>437</v>
      </c>
      <c r="E93" s="5" t="s">
        <v>438</v>
      </c>
      <c r="F93" s="27" t="s">
        <v>445</v>
      </c>
      <c r="G93" s="40" t="s">
        <v>446</v>
      </c>
      <c r="H93" s="5" t="s">
        <v>75</v>
      </c>
      <c r="I93" s="38" t="s">
        <v>413</v>
      </c>
      <c r="J93" s="27" t="s">
        <v>447</v>
      </c>
      <c r="K93" s="7" t="s">
        <v>209</v>
      </c>
      <c r="L93" s="7" t="s">
        <v>209</v>
      </c>
      <c r="M93" s="7" t="s">
        <v>209</v>
      </c>
      <c r="N93" s="7" t="s">
        <v>209</v>
      </c>
      <c r="O93" s="5" t="str">
        <f t="shared" si="3"/>
        <v>Not yet complete</v>
      </c>
      <c r="P93" s="8"/>
      <c r="Q93" s="9"/>
      <c r="R93" s="8"/>
    </row>
    <row r="94" spans="1:18" ht="67.95" customHeight="1" x14ac:dyDescent="0.3">
      <c r="A94" s="4">
        <v>46410</v>
      </c>
      <c r="B94" s="5" t="s">
        <v>202</v>
      </c>
      <c r="C94" s="13" t="s">
        <v>425</v>
      </c>
      <c r="D94" s="5" t="s">
        <v>437</v>
      </c>
      <c r="E94" s="5" t="s">
        <v>432</v>
      </c>
      <c r="F94" s="27" t="s">
        <v>448</v>
      </c>
      <c r="G94" s="40" t="s">
        <v>443</v>
      </c>
      <c r="H94" s="5" t="s">
        <v>57</v>
      </c>
      <c r="I94" s="38" t="s">
        <v>413</v>
      </c>
      <c r="J94" s="27" t="s">
        <v>444</v>
      </c>
      <c r="K94" s="7" t="s">
        <v>209</v>
      </c>
      <c r="L94" s="7" t="s">
        <v>209</v>
      </c>
      <c r="M94" s="7" t="s">
        <v>209</v>
      </c>
      <c r="N94" s="7" t="s">
        <v>209</v>
      </c>
      <c r="O94" s="5" t="str">
        <f t="shared" si="3"/>
        <v>Not yet complete</v>
      </c>
      <c r="P94" s="8"/>
      <c r="Q94" s="9"/>
      <c r="R94" s="8"/>
    </row>
    <row r="95" spans="1:18" ht="67.95" customHeight="1" x14ac:dyDescent="0.3">
      <c r="A95" s="4">
        <v>46411</v>
      </c>
      <c r="B95" s="5" t="s">
        <v>210</v>
      </c>
      <c r="C95" s="11" t="s">
        <v>211</v>
      </c>
      <c r="D95" s="5" t="s">
        <v>437</v>
      </c>
      <c r="E95" s="5" t="s">
        <v>410</v>
      </c>
      <c r="F95" s="27" t="s">
        <v>449</v>
      </c>
      <c r="G95" s="40" t="s">
        <v>450</v>
      </c>
      <c r="H95" s="5" t="s">
        <v>75</v>
      </c>
      <c r="I95" s="38" t="s">
        <v>413</v>
      </c>
      <c r="J95" s="27" t="s">
        <v>451</v>
      </c>
      <c r="K95" s="7" t="s">
        <v>209</v>
      </c>
      <c r="L95" s="7" t="s">
        <v>209</v>
      </c>
      <c r="M95" s="7" t="s">
        <v>209</v>
      </c>
      <c r="N95" s="7" t="s">
        <v>209</v>
      </c>
      <c r="O95" s="5" t="str">
        <f t="shared" si="3"/>
        <v>Not yet complete</v>
      </c>
      <c r="P95" s="8"/>
      <c r="Q95" s="9"/>
      <c r="R95" s="8"/>
    </row>
    <row r="96" spans="1:18" ht="67.95" customHeight="1" x14ac:dyDescent="0.3">
      <c r="A96" s="4">
        <v>46412</v>
      </c>
      <c r="B96" s="5" t="s">
        <v>217</v>
      </c>
      <c r="C96" s="10" t="s">
        <v>211</v>
      </c>
      <c r="D96" s="5" t="s">
        <v>437</v>
      </c>
      <c r="E96" s="5" t="s">
        <v>438</v>
      </c>
      <c r="F96" s="27" t="s">
        <v>452</v>
      </c>
      <c r="G96" s="40" t="s">
        <v>440</v>
      </c>
      <c r="H96" s="5" t="s">
        <v>57</v>
      </c>
      <c r="I96" s="38" t="s">
        <v>413</v>
      </c>
      <c r="J96" s="27" t="s">
        <v>441</v>
      </c>
      <c r="K96" s="7" t="s">
        <v>209</v>
      </c>
      <c r="L96" s="7" t="s">
        <v>209</v>
      </c>
      <c r="M96" s="7" t="s">
        <v>209</v>
      </c>
      <c r="N96" s="7" t="s">
        <v>209</v>
      </c>
      <c r="O96" s="5" t="str">
        <f t="shared" si="3"/>
        <v>Not yet complete</v>
      </c>
      <c r="P96" s="8"/>
      <c r="Q96" s="9"/>
      <c r="R96" s="8"/>
    </row>
    <row r="97" spans="1:18" ht="67.95" customHeight="1" x14ac:dyDescent="0.3">
      <c r="A97" s="4">
        <v>46413</v>
      </c>
      <c r="B97" s="5" t="s">
        <v>221</v>
      </c>
      <c r="C97" s="13" t="s">
        <v>425</v>
      </c>
      <c r="D97" s="5" t="s">
        <v>437</v>
      </c>
      <c r="E97" s="5" t="s">
        <v>432</v>
      </c>
      <c r="F97" s="27" t="s">
        <v>453</v>
      </c>
      <c r="G97" s="40" t="s">
        <v>443</v>
      </c>
      <c r="H97" s="5" t="s">
        <v>57</v>
      </c>
      <c r="I97" s="38" t="s">
        <v>413</v>
      </c>
      <c r="J97" s="27" t="s">
        <v>444</v>
      </c>
      <c r="K97" s="7" t="s">
        <v>209</v>
      </c>
      <c r="L97" s="7" t="s">
        <v>209</v>
      </c>
      <c r="M97" s="7" t="s">
        <v>209</v>
      </c>
      <c r="N97" s="7" t="s">
        <v>209</v>
      </c>
      <c r="O97" s="5" t="str">
        <f t="shared" si="3"/>
        <v>Not yet complete</v>
      </c>
      <c r="P97" s="8"/>
      <c r="Q97" s="9"/>
      <c r="R97" s="8"/>
    </row>
    <row r="98" spans="1:18" ht="67.95" customHeight="1" x14ac:dyDescent="0.3">
      <c r="A98" s="4">
        <v>46414</v>
      </c>
      <c r="B98" s="5" t="s">
        <v>226</v>
      </c>
      <c r="C98" s="10" t="s">
        <v>211</v>
      </c>
      <c r="D98" s="5" t="s">
        <v>437</v>
      </c>
      <c r="E98" s="5" t="s">
        <v>438</v>
      </c>
      <c r="F98" s="27" t="s">
        <v>454</v>
      </c>
      <c r="G98" s="40" t="s">
        <v>455</v>
      </c>
      <c r="H98" s="5" t="s">
        <v>75</v>
      </c>
      <c r="I98" s="38" t="s">
        <v>413</v>
      </c>
      <c r="J98" s="27" t="s">
        <v>447</v>
      </c>
      <c r="K98" s="7" t="s">
        <v>209</v>
      </c>
      <c r="L98" s="7" t="s">
        <v>209</v>
      </c>
      <c r="M98" s="7" t="s">
        <v>209</v>
      </c>
      <c r="N98" s="7" t="s">
        <v>209</v>
      </c>
      <c r="O98" s="5" t="str">
        <f t="shared" si="3"/>
        <v>Not yet complete</v>
      </c>
      <c r="P98" s="8"/>
      <c r="Q98" s="9"/>
      <c r="R98" s="8"/>
    </row>
    <row r="99" spans="1:18" ht="67.95" customHeight="1" x14ac:dyDescent="0.3">
      <c r="A99" s="4">
        <v>46415</v>
      </c>
      <c r="B99" s="5" t="s">
        <v>230</v>
      </c>
      <c r="C99" s="13" t="s">
        <v>425</v>
      </c>
      <c r="D99" s="5" t="s">
        <v>437</v>
      </c>
      <c r="E99" s="5" t="s">
        <v>432</v>
      </c>
      <c r="F99" s="27" t="s">
        <v>456</v>
      </c>
      <c r="G99" s="40" t="s">
        <v>443</v>
      </c>
      <c r="H99" s="5" t="s">
        <v>57</v>
      </c>
      <c r="I99" s="38" t="s">
        <v>413</v>
      </c>
      <c r="J99" s="27" t="s">
        <v>444</v>
      </c>
      <c r="K99" s="7" t="s">
        <v>209</v>
      </c>
      <c r="L99" s="7" t="s">
        <v>209</v>
      </c>
      <c r="M99" s="7" t="s">
        <v>209</v>
      </c>
      <c r="N99" s="7" t="s">
        <v>209</v>
      </c>
      <c r="O99" s="5" t="str">
        <f t="shared" ref="O99:O107" si="4">IF(COUNTIF(K99:N99,"Yes")=4,"Complete","Not yet complete")</f>
        <v>Not yet complete</v>
      </c>
      <c r="P99" s="8"/>
      <c r="Q99" s="9"/>
      <c r="R99" s="8"/>
    </row>
    <row r="100" spans="1:18" ht="67.95" customHeight="1" x14ac:dyDescent="0.3">
      <c r="A100" s="4">
        <v>46416</v>
      </c>
      <c r="B100" s="5" t="s">
        <v>235</v>
      </c>
      <c r="C100" s="10" t="s">
        <v>211</v>
      </c>
      <c r="D100" s="5" t="s">
        <v>437</v>
      </c>
      <c r="E100" s="5" t="s">
        <v>438</v>
      </c>
      <c r="F100" s="27" t="s">
        <v>457</v>
      </c>
      <c r="G100" s="40" t="s">
        <v>440</v>
      </c>
      <c r="H100" s="5" t="s">
        <v>57</v>
      </c>
      <c r="I100" s="38" t="s">
        <v>413</v>
      </c>
      <c r="J100" s="27" t="s">
        <v>441</v>
      </c>
      <c r="K100" s="7" t="s">
        <v>209</v>
      </c>
      <c r="L100" s="7" t="s">
        <v>209</v>
      </c>
      <c r="M100" s="7" t="s">
        <v>209</v>
      </c>
      <c r="N100" s="7" t="s">
        <v>209</v>
      </c>
      <c r="O100" s="5" t="str">
        <f t="shared" si="4"/>
        <v>Not yet complete</v>
      </c>
      <c r="P100" s="8"/>
      <c r="Q100" s="9"/>
      <c r="R100" s="8"/>
    </row>
    <row r="101" spans="1:18" ht="67.95" customHeight="1" x14ac:dyDescent="0.3">
      <c r="A101" s="4">
        <v>46417</v>
      </c>
      <c r="B101" s="5" t="s">
        <v>202</v>
      </c>
      <c r="C101" s="13" t="s">
        <v>425</v>
      </c>
      <c r="D101" s="5" t="s">
        <v>437</v>
      </c>
      <c r="E101" s="5" t="s">
        <v>432</v>
      </c>
      <c r="F101" s="27" t="s">
        <v>458</v>
      </c>
      <c r="G101" s="40" t="s">
        <v>443</v>
      </c>
      <c r="H101" s="5" t="s">
        <v>57</v>
      </c>
      <c r="I101" s="38" t="s">
        <v>413</v>
      </c>
      <c r="J101" s="27" t="s">
        <v>444</v>
      </c>
      <c r="K101" s="7" t="s">
        <v>209</v>
      </c>
      <c r="L101" s="7" t="s">
        <v>209</v>
      </c>
      <c r="M101" s="7" t="s">
        <v>209</v>
      </c>
      <c r="N101" s="7" t="s">
        <v>209</v>
      </c>
      <c r="O101" s="5" t="str">
        <f t="shared" si="4"/>
        <v>Not yet complete</v>
      </c>
      <c r="P101" s="8"/>
      <c r="Q101" s="9"/>
      <c r="R101" s="8"/>
    </row>
    <row r="102" spans="1:18" ht="67.95" customHeight="1" x14ac:dyDescent="0.3">
      <c r="A102" s="4">
        <v>46418</v>
      </c>
      <c r="B102" s="5" t="s">
        <v>210</v>
      </c>
      <c r="C102" s="11" t="s">
        <v>22</v>
      </c>
      <c r="D102" s="5" t="s">
        <v>437</v>
      </c>
      <c r="E102" s="5" t="s">
        <v>459</v>
      </c>
      <c r="F102" s="27" t="s">
        <v>460</v>
      </c>
      <c r="G102" s="40" t="s">
        <v>461</v>
      </c>
      <c r="H102" s="5" t="s">
        <v>57</v>
      </c>
      <c r="I102" s="36" t="s">
        <v>215</v>
      </c>
      <c r="J102" s="27" t="s">
        <v>462</v>
      </c>
      <c r="K102" s="7" t="s">
        <v>209</v>
      </c>
      <c r="L102" s="7" t="s">
        <v>209</v>
      </c>
      <c r="M102" s="7" t="s">
        <v>209</v>
      </c>
      <c r="N102" s="7" t="s">
        <v>209</v>
      </c>
      <c r="O102" s="5" t="str">
        <f t="shared" si="4"/>
        <v>Not yet complete</v>
      </c>
      <c r="P102" s="8"/>
      <c r="Q102" s="9"/>
      <c r="R102" s="8"/>
    </row>
    <row r="103" spans="1:18" ht="67.95" customHeight="1" x14ac:dyDescent="0.3">
      <c r="A103" s="4">
        <v>46419</v>
      </c>
      <c r="B103" s="5" t="s">
        <v>217</v>
      </c>
      <c r="C103" s="10" t="s">
        <v>211</v>
      </c>
      <c r="D103" s="5" t="s">
        <v>437</v>
      </c>
      <c r="E103" s="5" t="s">
        <v>438</v>
      </c>
      <c r="F103" s="27" t="s">
        <v>463</v>
      </c>
      <c r="G103" s="40" t="s">
        <v>464</v>
      </c>
      <c r="H103" s="5" t="s">
        <v>75</v>
      </c>
      <c r="I103" s="38" t="s">
        <v>413</v>
      </c>
      <c r="J103" s="27" t="s">
        <v>447</v>
      </c>
      <c r="K103" s="7" t="s">
        <v>209</v>
      </c>
      <c r="L103" s="7" t="s">
        <v>209</v>
      </c>
      <c r="M103" s="7" t="s">
        <v>209</v>
      </c>
      <c r="N103" s="7" t="s">
        <v>209</v>
      </c>
      <c r="O103" s="5" t="str">
        <f t="shared" si="4"/>
        <v>Not yet complete</v>
      </c>
      <c r="P103" s="8"/>
      <c r="Q103" s="9"/>
      <c r="R103" s="8"/>
    </row>
    <row r="104" spans="1:18" ht="67.95" customHeight="1" x14ac:dyDescent="0.3">
      <c r="A104" s="4">
        <v>46420</v>
      </c>
      <c r="B104" s="5" t="s">
        <v>221</v>
      </c>
      <c r="C104" s="13" t="s">
        <v>425</v>
      </c>
      <c r="D104" s="5" t="s">
        <v>437</v>
      </c>
      <c r="E104" s="5" t="s">
        <v>432</v>
      </c>
      <c r="F104" s="27" t="s">
        <v>465</v>
      </c>
      <c r="G104" s="40" t="s">
        <v>443</v>
      </c>
      <c r="H104" s="5" t="s">
        <v>57</v>
      </c>
      <c r="I104" s="38" t="s">
        <v>413</v>
      </c>
      <c r="J104" s="27" t="s">
        <v>444</v>
      </c>
      <c r="K104" s="7" t="s">
        <v>209</v>
      </c>
      <c r="L104" s="7" t="s">
        <v>209</v>
      </c>
      <c r="M104" s="7" t="s">
        <v>209</v>
      </c>
      <c r="N104" s="7" t="s">
        <v>209</v>
      </c>
      <c r="O104" s="5" t="str">
        <f t="shared" si="4"/>
        <v>Not yet complete</v>
      </c>
      <c r="P104" s="8"/>
      <c r="Q104" s="9"/>
      <c r="R104" s="8"/>
    </row>
    <row r="105" spans="1:18" ht="67.95" customHeight="1" x14ac:dyDescent="0.3">
      <c r="A105" s="4">
        <v>46421</v>
      </c>
      <c r="B105" s="5" t="s">
        <v>226</v>
      </c>
      <c r="C105" s="14" t="s">
        <v>466</v>
      </c>
      <c r="D105" s="5" t="s">
        <v>467</v>
      </c>
      <c r="E105" s="5" t="s">
        <v>468</v>
      </c>
      <c r="F105" s="27" t="s">
        <v>469</v>
      </c>
      <c r="G105" s="40" t="s">
        <v>470</v>
      </c>
      <c r="H105" s="5" t="s">
        <v>57</v>
      </c>
      <c r="I105" s="38" t="s">
        <v>413</v>
      </c>
      <c r="J105" s="27" t="s">
        <v>471</v>
      </c>
      <c r="K105" s="7" t="s">
        <v>209</v>
      </c>
      <c r="L105" s="7" t="s">
        <v>209</v>
      </c>
      <c r="M105" s="7" t="s">
        <v>209</v>
      </c>
      <c r="N105" s="7" t="s">
        <v>209</v>
      </c>
      <c r="O105" s="5" t="str">
        <f t="shared" si="4"/>
        <v>Not yet complete</v>
      </c>
      <c r="P105" s="8"/>
      <c r="Q105" s="9"/>
      <c r="R105" s="8"/>
    </row>
    <row r="106" spans="1:18" ht="67.95" customHeight="1" x14ac:dyDescent="0.3">
      <c r="A106" s="4">
        <v>46422</v>
      </c>
      <c r="B106" s="5" t="s">
        <v>230</v>
      </c>
      <c r="C106" s="14" t="s">
        <v>466</v>
      </c>
      <c r="D106" s="5" t="s">
        <v>467</v>
      </c>
      <c r="E106" s="5" t="s">
        <v>472</v>
      </c>
      <c r="F106" s="27" t="s">
        <v>473</v>
      </c>
      <c r="G106" s="40" t="s">
        <v>474</v>
      </c>
      <c r="H106" s="5" t="s">
        <v>57</v>
      </c>
      <c r="I106" s="38" t="s">
        <v>413</v>
      </c>
      <c r="J106" s="27" t="s">
        <v>475</v>
      </c>
      <c r="K106" s="7" t="s">
        <v>209</v>
      </c>
      <c r="L106" s="7" t="s">
        <v>209</v>
      </c>
      <c r="M106" s="7" t="s">
        <v>209</v>
      </c>
      <c r="N106" s="7" t="s">
        <v>209</v>
      </c>
      <c r="O106" s="5" t="str">
        <f t="shared" si="4"/>
        <v>Not yet complete</v>
      </c>
      <c r="P106" s="8"/>
      <c r="Q106" s="9"/>
      <c r="R106" s="8"/>
    </row>
    <row r="107" spans="1:18" ht="67.95" customHeight="1" x14ac:dyDescent="0.3">
      <c r="A107" s="4">
        <v>46423</v>
      </c>
      <c r="B107" s="5" t="s">
        <v>235</v>
      </c>
      <c r="C107" s="14" t="s">
        <v>466</v>
      </c>
      <c r="D107" s="5" t="s">
        <v>467</v>
      </c>
      <c r="E107" s="5" t="s">
        <v>476</v>
      </c>
      <c r="F107" s="27" t="s">
        <v>477</v>
      </c>
      <c r="G107" s="40" t="s">
        <v>478</v>
      </c>
      <c r="H107" s="5" t="s">
        <v>57</v>
      </c>
      <c r="I107" s="38" t="s">
        <v>413</v>
      </c>
      <c r="J107" s="27" t="s">
        <v>479</v>
      </c>
      <c r="K107" s="7" t="s">
        <v>209</v>
      </c>
      <c r="L107" s="7" t="s">
        <v>209</v>
      </c>
      <c r="M107" s="7" t="s">
        <v>209</v>
      </c>
      <c r="N107" s="7" t="s">
        <v>209</v>
      </c>
      <c r="O107" s="5" t="str">
        <f t="shared" si="4"/>
        <v>Not yet complete</v>
      </c>
      <c r="P107" s="8"/>
      <c r="Q107" s="9"/>
      <c r="R107" s="8"/>
    </row>
  </sheetData>
  <conditionalFormatting sqref="O2:O107">
    <cfRule type="cellIs" dxfId="5" priority="2" operator="equal">
      <formula>"Complete"</formula>
    </cfRule>
  </conditionalFormatting>
  <dataValidations count="1">
    <dataValidation type="list" sqref="K2:N107" xr:uid="{00000000-0002-0000-0000-000000000000}">
      <formula1>"Yes,No"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ColWidth="8.6640625" defaultRowHeight="14.4" x14ac:dyDescent="0.3"/>
  <cols>
    <col min="1" max="1" width="28" customWidth="1"/>
    <col min="2" max="2" width="130" customWidth="1"/>
  </cols>
  <sheetData>
    <row r="1" spans="1:2" ht="42" customHeight="1" x14ac:dyDescent="0.3">
      <c r="A1" s="3" t="s">
        <v>480</v>
      </c>
      <c r="B1" s="3" t="s">
        <v>481</v>
      </c>
    </row>
    <row r="2" spans="1:2" ht="48" customHeight="1" x14ac:dyDescent="0.3">
      <c r="A2" s="15" t="s">
        <v>482</v>
      </c>
      <c r="B2" s="5" t="s">
        <v>483</v>
      </c>
    </row>
    <row r="3" spans="1:2" ht="48" customHeight="1" x14ac:dyDescent="0.3">
      <c r="A3" s="15" t="s">
        <v>484</v>
      </c>
      <c r="B3" s="5" t="s">
        <v>874</v>
      </c>
    </row>
    <row r="4" spans="1:2" ht="48" customHeight="1" x14ac:dyDescent="0.3">
      <c r="A4" s="15" t="s">
        <v>485</v>
      </c>
      <c r="B4" s="5" t="s">
        <v>875</v>
      </c>
    </row>
    <row r="5" spans="1:2" ht="48" customHeight="1" x14ac:dyDescent="0.3">
      <c r="A5" s="15" t="s">
        <v>486</v>
      </c>
      <c r="B5" s="5" t="s">
        <v>487</v>
      </c>
    </row>
    <row r="6" spans="1:2" ht="48" customHeight="1" x14ac:dyDescent="0.3">
      <c r="A6" s="15" t="s">
        <v>488</v>
      </c>
      <c r="B6" s="5" t="s">
        <v>489</v>
      </c>
    </row>
    <row r="7" spans="1:2" ht="48" customHeight="1" x14ac:dyDescent="0.3">
      <c r="A7" s="15" t="s">
        <v>490</v>
      </c>
      <c r="B7" s="5" t="s">
        <v>491</v>
      </c>
    </row>
    <row r="8" spans="1:2" ht="48" customHeight="1" x14ac:dyDescent="0.3">
      <c r="A8" s="15" t="s">
        <v>492</v>
      </c>
      <c r="B8" s="5" t="s">
        <v>493</v>
      </c>
    </row>
    <row r="9" spans="1:2" ht="48" customHeight="1" x14ac:dyDescent="0.3">
      <c r="A9" s="15" t="s">
        <v>494</v>
      </c>
      <c r="B9" s="5" t="s">
        <v>495</v>
      </c>
    </row>
    <row r="10" spans="1:2" ht="48" customHeight="1" x14ac:dyDescent="0.3">
      <c r="A10" s="15" t="s">
        <v>496</v>
      </c>
      <c r="B10" s="5" t="s">
        <v>497</v>
      </c>
    </row>
    <row r="11" spans="1:2" ht="48" customHeight="1" x14ac:dyDescent="0.3">
      <c r="A11" s="15" t="s">
        <v>498</v>
      </c>
      <c r="B11" s="5" t="s">
        <v>499</v>
      </c>
    </row>
    <row r="12" spans="1:2" ht="48" customHeight="1" x14ac:dyDescent="0.3">
      <c r="A12" s="15" t="s">
        <v>500</v>
      </c>
      <c r="B12" s="5" t="s">
        <v>501</v>
      </c>
    </row>
    <row r="13" spans="1:2" ht="48" customHeight="1" x14ac:dyDescent="0.3">
      <c r="A13" s="15" t="s">
        <v>174</v>
      </c>
      <c r="B13" s="5" t="s">
        <v>502</v>
      </c>
    </row>
    <row r="14" spans="1:2" ht="48" customHeight="1" x14ac:dyDescent="0.3">
      <c r="A14" s="15" t="s">
        <v>503</v>
      </c>
      <c r="B14" s="5" t="s">
        <v>504</v>
      </c>
    </row>
    <row r="15" spans="1:2" ht="48" customHeight="1" x14ac:dyDescent="0.3">
      <c r="A15" s="15" t="s">
        <v>505</v>
      </c>
      <c r="B15" s="5" t="s">
        <v>506</v>
      </c>
    </row>
    <row r="16" spans="1:2" ht="48" customHeight="1" x14ac:dyDescent="0.3">
      <c r="A16" s="15" t="s">
        <v>507</v>
      </c>
      <c r="B16" s="5" t="s">
        <v>508</v>
      </c>
    </row>
    <row r="17" spans="1:2" ht="48" customHeight="1" x14ac:dyDescent="0.3">
      <c r="A17" s="15" t="s">
        <v>509</v>
      </c>
      <c r="B17" s="5" t="s">
        <v>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/>
  </sheetViews>
  <sheetFormatPr defaultColWidth="8.6640625" defaultRowHeight="14.4" x14ac:dyDescent="0.3"/>
  <cols>
    <col min="1" max="1" width="72" customWidth="1"/>
    <col min="2" max="3" width="13" customWidth="1"/>
    <col min="4" max="4" width="11" customWidth="1"/>
    <col min="5" max="7" width="14" customWidth="1"/>
  </cols>
  <sheetData>
    <row r="1" spans="1:7" ht="42" customHeight="1" x14ac:dyDescent="0.3">
      <c r="A1" s="3" t="s">
        <v>3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</row>
    <row r="2" spans="1:7" ht="15" customHeight="1" x14ac:dyDescent="0.3">
      <c r="A2" s="16" t="s">
        <v>204</v>
      </c>
      <c r="B2" s="17">
        <f>INDEX('Daily Plan'!$A$2:$A$107,MATCH(A2,'Daily Plan'!$D$2:$D$107,0))</f>
        <v>46318</v>
      </c>
      <c r="C2" s="17">
        <f>SUMPRODUCT(MAX(('Daily Plan'!$D$2:$D$107=A2)*'Daily Plan'!$A$2:$A$107))</f>
        <v>46332</v>
      </c>
      <c r="D2" s="16">
        <f>COUNTIFS('Daily Plan'!$D$2:$D$107,A2)</f>
        <v>13</v>
      </c>
      <c r="E2" s="16">
        <f>COUNTIFS('Daily Plan'!$D$2:$D$107,A2,'Daily Plan'!$C$2:$C$107,"Study session")</f>
        <v>13</v>
      </c>
      <c r="F2" s="16">
        <f>COUNTIFS('Daily Plan'!$D$2:$D$107,A2,'Daily Plan'!$O$2:$O$107,"Complete")</f>
        <v>0</v>
      </c>
      <c r="G2" s="18">
        <f t="shared" ref="G2:G11" si="0">IF(D2=0,0,F2/D2)</f>
        <v>0</v>
      </c>
    </row>
    <row r="3" spans="1:7" ht="15" customHeight="1" x14ac:dyDescent="0.3">
      <c r="A3" s="16" t="s">
        <v>260</v>
      </c>
      <c r="B3" s="17">
        <f>INDEX('Daily Plan'!$A$2:$A$107,MATCH(A3,'Daily Plan'!$D$2:$D$107,0))</f>
        <v>46333</v>
      </c>
      <c r="C3" s="17">
        <f>SUMPRODUCT(MAX(('Daily Plan'!$D$2:$D$107=A3)*'Daily Plan'!$A$2:$A$107))</f>
        <v>46352</v>
      </c>
      <c r="D3" s="16">
        <f>COUNTIFS('Daily Plan'!$D$2:$D$107,A3)</f>
        <v>17</v>
      </c>
      <c r="E3" s="16">
        <f>COUNTIFS('Daily Plan'!$D$2:$D$107,A3,'Daily Plan'!$C$2:$C$107,"Study session")</f>
        <v>17</v>
      </c>
      <c r="F3" s="16">
        <f>COUNTIFS('Daily Plan'!$D$2:$D$107,A3,'Daily Plan'!$O$2:$O$107,"Complete")</f>
        <v>0</v>
      </c>
      <c r="G3" s="18">
        <f t="shared" si="0"/>
        <v>0</v>
      </c>
    </row>
    <row r="4" spans="1:7" ht="15" customHeight="1" x14ac:dyDescent="0.3">
      <c r="A4" s="16" t="s">
        <v>308</v>
      </c>
      <c r="B4" s="17">
        <f>INDEX('Daily Plan'!$A$2:$A$107,MATCH(A4,'Daily Plan'!$D$2:$D$107,0))</f>
        <v>46353</v>
      </c>
      <c r="C4" s="17">
        <f>SUMPRODUCT(MAX(('Daily Plan'!$D$2:$D$107=A4)*'Daily Plan'!$A$2:$A$107))</f>
        <v>46364</v>
      </c>
      <c r="D4" s="16">
        <f>COUNTIFS('Daily Plan'!$D$2:$D$107,A4)</f>
        <v>10</v>
      </c>
      <c r="E4" s="16">
        <f>COUNTIFS('Daily Plan'!$D$2:$D$107,A4,'Daily Plan'!$C$2:$C$107,"Study session")</f>
        <v>10</v>
      </c>
      <c r="F4" s="16">
        <f>COUNTIFS('Daily Plan'!$D$2:$D$107,A4,'Daily Plan'!$O$2:$O$107,"Complete")</f>
        <v>0</v>
      </c>
      <c r="G4" s="18">
        <f t="shared" si="0"/>
        <v>0</v>
      </c>
    </row>
    <row r="5" spans="1:7" ht="15" customHeight="1" x14ac:dyDescent="0.3">
      <c r="A5" s="16" t="s">
        <v>331</v>
      </c>
      <c r="B5" s="17">
        <f>INDEX('Daily Plan'!$A$2:$A$107,MATCH(A5,'Daily Plan'!$D$2:$D$107,0))</f>
        <v>46365</v>
      </c>
      <c r="C5" s="17">
        <f>SUMPRODUCT(MAX(('Daily Plan'!$D$2:$D$107=A5)*'Daily Plan'!$A$2:$A$107))</f>
        <v>46373</v>
      </c>
      <c r="D5" s="16">
        <f>COUNTIFS('Daily Plan'!$D$2:$D$107,A5)</f>
        <v>8</v>
      </c>
      <c r="E5" s="16">
        <f>COUNTIFS('Daily Plan'!$D$2:$D$107,A5,'Daily Plan'!$C$2:$C$107,"Study session")</f>
        <v>8</v>
      </c>
      <c r="F5" s="16">
        <f>COUNTIFS('Daily Plan'!$D$2:$D$107,A5,'Daily Plan'!$O$2:$O$107,"Complete")</f>
        <v>0</v>
      </c>
      <c r="G5" s="18">
        <f t="shared" si="0"/>
        <v>0</v>
      </c>
    </row>
    <row r="6" spans="1:7" ht="15" customHeight="1" x14ac:dyDescent="0.3">
      <c r="A6" s="16" t="s">
        <v>352</v>
      </c>
      <c r="B6" s="17">
        <f>INDEX('Daily Plan'!$A$2:$A$107,MATCH(A6,'Daily Plan'!$D$2:$D$107,0))</f>
        <v>46374</v>
      </c>
      <c r="C6" s="17">
        <f>SUMPRODUCT(MAX(('Daily Plan'!$D$2:$D$107=A6)*'Daily Plan'!$A$2:$A$107))</f>
        <v>46391</v>
      </c>
      <c r="D6" s="16">
        <f>COUNTIFS('Daily Plan'!$D$2:$D$107,A6)</f>
        <v>15</v>
      </c>
      <c r="E6" s="16">
        <f>COUNTIFS('Daily Plan'!$D$2:$D$107,A6,'Daily Plan'!$C$2:$C$107,"Study session")</f>
        <v>15</v>
      </c>
      <c r="F6" s="16">
        <f>COUNTIFS('Daily Plan'!$D$2:$D$107,A6,'Daily Plan'!$O$2:$O$107,"Complete")</f>
        <v>0</v>
      </c>
      <c r="G6" s="18">
        <f t="shared" si="0"/>
        <v>0</v>
      </c>
    </row>
    <row r="7" spans="1:7" ht="15" customHeight="1" x14ac:dyDescent="0.3">
      <c r="A7" s="16" t="s">
        <v>397</v>
      </c>
      <c r="B7" s="17">
        <f>INDEX('Daily Plan'!$A$2:$A$107,MATCH(A7,'Daily Plan'!$D$2:$D$107,0))</f>
        <v>46392</v>
      </c>
      <c r="C7" s="17">
        <f>SUMPRODUCT(MAX(('Daily Plan'!$D$2:$D$107=A7)*'Daily Plan'!$A$2:$A$107))</f>
        <v>46406</v>
      </c>
      <c r="D7" s="16">
        <f>COUNTIFS('Daily Plan'!$D$2:$D$107,A7)</f>
        <v>15</v>
      </c>
      <c r="E7" s="16">
        <f>COUNTIFS('Daily Plan'!$D$2:$D$107,A7,'Daily Plan'!$C$2:$C$107,"Study session")</f>
        <v>0</v>
      </c>
      <c r="F7" s="16">
        <f>COUNTIFS('Daily Plan'!$D$2:$D$107,A7,'Daily Plan'!$O$2:$O$107,"Complete")</f>
        <v>0</v>
      </c>
      <c r="G7" s="18">
        <f t="shared" si="0"/>
        <v>0</v>
      </c>
    </row>
    <row r="8" spans="1:7" ht="15" customHeight="1" x14ac:dyDescent="0.3">
      <c r="A8" s="16" t="s">
        <v>437</v>
      </c>
      <c r="B8" s="17">
        <f>INDEX('Daily Plan'!$A$2:$A$107,MATCH(A8,'Daily Plan'!$D$2:$D$107,0))</f>
        <v>46407</v>
      </c>
      <c r="C8" s="17">
        <f>SUMPRODUCT(MAX(('Daily Plan'!$D$2:$D$107=A8)*'Daily Plan'!$A$2:$A$107))</f>
        <v>46420</v>
      </c>
      <c r="D8" s="16">
        <f>COUNTIFS('Daily Plan'!$D$2:$D$107,A8)</f>
        <v>14</v>
      </c>
      <c r="E8" s="16">
        <f>COUNTIFS('Daily Plan'!$D$2:$D$107,A8,'Daily Plan'!$C$2:$C$107,"Study session")</f>
        <v>0</v>
      </c>
      <c r="F8" s="16">
        <f>COUNTIFS('Daily Plan'!$D$2:$D$107,A8,'Daily Plan'!$O$2:$O$107,"Complete")</f>
        <v>0</v>
      </c>
      <c r="G8" s="18">
        <f t="shared" si="0"/>
        <v>0</v>
      </c>
    </row>
    <row r="9" spans="1:7" ht="15" customHeight="1" x14ac:dyDescent="0.3">
      <c r="A9" s="16" t="s">
        <v>467</v>
      </c>
      <c r="B9" s="17">
        <f>INDEX('Daily Plan'!$A$2:$A$107,MATCH(A9,'Daily Plan'!$D$2:$D$107,0))</f>
        <v>46421</v>
      </c>
      <c r="C9" s="17">
        <f>SUMPRODUCT(MAX(('Daily Plan'!$D$2:$D$107=A9)*'Daily Plan'!$A$2:$A$107))</f>
        <v>46423</v>
      </c>
      <c r="D9" s="16">
        <f>COUNTIFS('Daily Plan'!$D$2:$D$107,A9)</f>
        <v>3</v>
      </c>
      <c r="E9" s="16">
        <f>COUNTIFS('Daily Plan'!$D$2:$D$107,A9,'Daily Plan'!$C$2:$C$107,"Study session")</f>
        <v>0</v>
      </c>
      <c r="F9" s="16">
        <f>COUNTIFS('Daily Plan'!$D$2:$D$107,A9,'Daily Plan'!$O$2:$O$107,"Complete")</f>
        <v>0</v>
      </c>
      <c r="G9" s="18">
        <f t="shared" si="0"/>
        <v>0</v>
      </c>
    </row>
    <row r="10" spans="1:7" ht="15" customHeight="1" x14ac:dyDescent="0.3">
      <c r="A10" s="16" t="s">
        <v>22</v>
      </c>
      <c r="B10" s="17">
        <f>INDEX('Daily Plan'!$A$2:$A$107,MATCH(A10,'Daily Plan'!$D$2:$D$107,0))</f>
        <v>46320</v>
      </c>
      <c r="C10" s="17">
        <f>SUMPRODUCT(MAX(('Daily Plan'!$D$2:$D$107=A10)*'Daily Plan'!$A$2:$A$107))</f>
        <v>46390</v>
      </c>
      <c r="D10" s="16">
        <f>COUNTIFS('Daily Plan'!$D$2:$D$107,A10)</f>
        <v>11</v>
      </c>
      <c r="E10" s="16">
        <f>COUNTIFS('Daily Plan'!$D$2:$D$107,A10,'Daily Plan'!$C$2:$C$107,"Study session")</f>
        <v>0</v>
      </c>
      <c r="F10" s="16">
        <f>COUNTIFS('Daily Plan'!$D$2:$D$107,A10,'Daily Plan'!$O$2:$O$107,"Complete")</f>
        <v>0</v>
      </c>
      <c r="G10" s="18">
        <f t="shared" si="0"/>
        <v>0</v>
      </c>
    </row>
    <row r="11" spans="1:7" ht="15" customHeight="1" x14ac:dyDescent="0.3">
      <c r="A11" s="19" t="s">
        <v>23</v>
      </c>
      <c r="B11" s="19"/>
      <c r="C11" s="19"/>
      <c r="D11" s="19">
        <f>SUM(D2:D10)</f>
        <v>106</v>
      </c>
      <c r="E11" s="19">
        <f>SUM(E2:E10)</f>
        <v>63</v>
      </c>
      <c r="F11" s="19">
        <f>SUM(F2:F10)</f>
        <v>0</v>
      </c>
      <c r="G11" s="20">
        <f t="shared" si="0"/>
        <v>0</v>
      </c>
    </row>
    <row r="13" spans="1:7" ht="15" customHeight="1" x14ac:dyDescent="0.3">
      <c r="A13" s="21" t="s">
        <v>24</v>
      </c>
      <c r="B13" s="22">
        <f>DATE(2027,2,6)</f>
        <v>46424</v>
      </c>
    </row>
    <row r="14" spans="1:7" ht="15" customHeight="1" x14ac:dyDescent="0.3">
      <c r="A14" s="21" t="s">
        <v>25</v>
      </c>
      <c r="B14" s="26">
        <f ca="1">B13-TODAY()</f>
        <v>106</v>
      </c>
    </row>
    <row r="15" spans="1:7" ht="15" customHeight="1" x14ac:dyDescent="0.3">
      <c r="A15" s="23" t="s">
        <v>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5" customWidth="1"/>
    <col min="2" max="2" width="34" customWidth="1"/>
    <col min="3" max="3" width="58" customWidth="1"/>
    <col min="4" max="4" width="74" customWidth="1"/>
    <col min="5" max="5" width="32" customWidth="1"/>
    <col min="6" max="6" width="78" customWidth="1"/>
  </cols>
  <sheetData>
    <row r="1" spans="1:6" ht="31.95" customHeight="1" x14ac:dyDescent="0.3">
      <c r="A1" s="30" t="s">
        <v>52</v>
      </c>
      <c r="B1" s="30" t="s">
        <v>512</v>
      </c>
      <c r="C1" s="30" t="s">
        <v>513</v>
      </c>
      <c r="D1" s="30" t="s">
        <v>514</v>
      </c>
      <c r="E1" s="30" t="s">
        <v>515</v>
      </c>
      <c r="F1" s="31" t="s">
        <v>516</v>
      </c>
    </row>
    <row r="2" spans="1:6" ht="61.5" customHeight="1" x14ac:dyDescent="0.3">
      <c r="A2" s="27" t="s">
        <v>196</v>
      </c>
      <c r="B2" s="27" t="s">
        <v>517</v>
      </c>
      <c r="C2" s="27" t="s">
        <v>518</v>
      </c>
      <c r="D2" s="27" t="s">
        <v>519</v>
      </c>
      <c r="E2" s="28" t="s">
        <v>520</v>
      </c>
      <c r="F2" s="1" t="s">
        <v>521</v>
      </c>
    </row>
    <row r="3" spans="1:6" ht="61.5" customHeight="1" x14ac:dyDescent="0.3">
      <c r="A3" s="27" t="s">
        <v>196</v>
      </c>
      <c r="B3" s="27" t="s">
        <v>160</v>
      </c>
      <c r="C3" s="27" t="s">
        <v>522</v>
      </c>
      <c r="D3" s="27" t="s">
        <v>523</v>
      </c>
      <c r="E3" s="28" t="s">
        <v>524</v>
      </c>
      <c r="F3" s="1" t="s">
        <v>521</v>
      </c>
    </row>
    <row r="4" spans="1:6" ht="61.5" customHeight="1" x14ac:dyDescent="0.3">
      <c r="A4" s="27" t="s">
        <v>196</v>
      </c>
      <c r="B4" s="27" t="s">
        <v>167</v>
      </c>
      <c r="C4" s="27" t="s">
        <v>525</v>
      </c>
      <c r="D4" s="27" t="s">
        <v>526</v>
      </c>
      <c r="E4" s="28" t="s">
        <v>524</v>
      </c>
      <c r="F4" s="1" t="s">
        <v>521</v>
      </c>
    </row>
    <row r="5" spans="1:6" ht="61.5" customHeight="1" x14ac:dyDescent="0.3">
      <c r="A5" s="27" t="s">
        <v>196</v>
      </c>
      <c r="B5" s="27" t="s">
        <v>527</v>
      </c>
      <c r="C5" s="27" t="s">
        <v>876</v>
      </c>
      <c r="D5" s="27" t="s">
        <v>528</v>
      </c>
      <c r="E5" s="28" t="s">
        <v>520</v>
      </c>
      <c r="F5" s="1" t="s">
        <v>521</v>
      </c>
    </row>
    <row r="6" spans="1:6" ht="61.5" customHeight="1" x14ac:dyDescent="0.3">
      <c r="A6" s="27" t="s">
        <v>196</v>
      </c>
      <c r="B6" s="27" t="s">
        <v>529</v>
      </c>
      <c r="C6" s="27" t="s">
        <v>530</v>
      </c>
      <c r="D6" s="27" t="s">
        <v>531</v>
      </c>
      <c r="E6" s="28" t="s">
        <v>520</v>
      </c>
      <c r="F6" s="1" t="s">
        <v>521</v>
      </c>
    </row>
    <row r="7" spans="1:6" ht="61.5" customHeight="1" x14ac:dyDescent="0.3">
      <c r="A7" s="27" t="s">
        <v>196</v>
      </c>
      <c r="B7" s="27" t="s">
        <v>139</v>
      </c>
      <c r="C7" s="27" t="s">
        <v>532</v>
      </c>
      <c r="D7" s="27" t="s">
        <v>533</v>
      </c>
      <c r="E7" s="28" t="s">
        <v>524</v>
      </c>
      <c r="F7" s="1" t="s">
        <v>521</v>
      </c>
    </row>
    <row r="8" spans="1:6" ht="61.5" customHeight="1" x14ac:dyDescent="0.3">
      <c r="A8" s="27" t="s">
        <v>196</v>
      </c>
      <c r="B8" s="27" t="s">
        <v>149</v>
      </c>
      <c r="C8" s="27" t="s">
        <v>534</v>
      </c>
      <c r="D8" s="27" t="s">
        <v>535</v>
      </c>
      <c r="E8" s="28" t="s">
        <v>524</v>
      </c>
      <c r="F8" s="1" t="s">
        <v>521</v>
      </c>
    </row>
    <row r="9" spans="1:6" ht="61.5" customHeight="1" x14ac:dyDescent="0.3">
      <c r="A9" s="27" t="s">
        <v>196</v>
      </c>
      <c r="B9" s="27" t="s">
        <v>107</v>
      </c>
      <c r="C9" s="27" t="s">
        <v>536</v>
      </c>
      <c r="D9" s="27" t="s">
        <v>537</v>
      </c>
      <c r="E9" s="28" t="s">
        <v>524</v>
      </c>
      <c r="F9" s="1" t="s">
        <v>521</v>
      </c>
    </row>
    <row r="10" spans="1:6" ht="61.5" customHeight="1" x14ac:dyDescent="0.3">
      <c r="A10" s="27" t="s">
        <v>196</v>
      </c>
      <c r="B10" s="27" t="s">
        <v>121</v>
      </c>
      <c r="C10" s="27" t="s">
        <v>538</v>
      </c>
      <c r="D10" s="27" t="s">
        <v>539</v>
      </c>
      <c r="E10" s="28" t="s">
        <v>520</v>
      </c>
      <c r="F10" s="1" t="s">
        <v>521</v>
      </c>
    </row>
    <row r="11" spans="1:6" ht="61.5" customHeight="1" x14ac:dyDescent="0.3">
      <c r="A11" s="27" t="s">
        <v>196</v>
      </c>
      <c r="B11" s="27" t="s">
        <v>174</v>
      </c>
      <c r="C11" s="27" t="s">
        <v>540</v>
      </c>
      <c r="D11" s="27" t="s">
        <v>541</v>
      </c>
      <c r="E11" s="28" t="s">
        <v>524</v>
      </c>
      <c r="F11" s="1" t="s">
        <v>521</v>
      </c>
    </row>
    <row r="12" spans="1:6" ht="61.5" customHeight="1" x14ac:dyDescent="0.3">
      <c r="A12" s="27" t="s">
        <v>542</v>
      </c>
      <c r="B12" s="27" t="s">
        <v>543</v>
      </c>
      <c r="C12" s="27" t="s">
        <v>544</v>
      </c>
      <c r="D12" s="27" t="s">
        <v>545</v>
      </c>
      <c r="E12" s="28" t="s">
        <v>546</v>
      </c>
      <c r="F12" s="1" t="s">
        <v>547</v>
      </c>
    </row>
    <row r="13" spans="1:6" ht="28.8" x14ac:dyDescent="0.3">
      <c r="A13" s="1" t="s">
        <v>542</v>
      </c>
      <c r="B13" s="1" t="s">
        <v>548</v>
      </c>
      <c r="C13" s="1" t="s">
        <v>549</v>
      </c>
      <c r="D13" s="1" t="s">
        <v>550</v>
      </c>
      <c r="E13" s="1" t="s">
        <v>546</v>
      </c>
      <c r="F13" s="1" t="s">
        <v>547</v>
      </c>
    </row>
    <row r="14" spans="1:6" ht="15" customHeight="1" x14ac:dyDescent="0.3">
      <c r="A14" s="29" t="s">
        <v>542</v>
      </c>
      <c r="B14" s="1" t="s">
        <v>551</v>
      </c>
      <c r="C14" s="1" t="s">
        <v>552</v>
      </c>
      <c r="D14" s="1" t="s">
        <v>553</v>
      </c>
      <c r="E14" s="1" t="s">
        <v>546</v>
      </c>
      <c r="F14" s="1" t="s">
        <v>547</v>
      </c>
    </row>
    <row r="15" spans="1:6" ht="28.8" x14ac:dyDescent="0.3">
      <c r="A15" s="1" t="s">
        <v>542</v>
      </c>
      <c r="B15" s="1" t="s">
        <v>554</v>
      </c>
      <c r="C15" s="1" t="s">
        <v>877</v>
      </c>
      <c r="D15" s="1" t="s">
        <v>555</v>
      </c>
      <c r="E15" s="1" t="s">
        <v>556</v>
      </c>
      <c r="F15" s="1" t="s">
        <v>547</v>
      </c>
    </row>
    <row r="16" spans="1:6" ht="28.8" x14ac:dyDescent="0.3">
      <c r="A16" s="1" t="s">
        <v>542</v>
      </c>
      <c r="B16" s="1" t="s">
        <v>557</v>
      </c>
      <c r="C16" s="1" t="s">
        <v>558</v>
      </c>
      <c r="D16" s="1" t="s">
        <v>559</v>
      </c>
      <c r="E16" s="1" t="s">
        <v>560</v>
      </c>
      <c r="F16" s="1" t="s">
        <v>547</v>
      </c>
    </row>
    <row r="17" spans="1:6" ht="28.8" x14ac:dyDescent="0.3">
      <c r="A17" s="1" t="s">
        <v>542</v>
      </c>
      <c r="B17" s="1" t="s">
        <v>561</v>
      </c>
      <c r="C17" s="1" t="s">
        <v>562</v>
      </c>
      <c r="D17" s="1" t="s">
        <v>563</v>
      </c>
      <c r="E17" s="1" t="s">
        <v>564</v>
      </c>
      <c r="F17" s="1" t="s">
        <v>547</v>
      </c>
    </row>
    <row r="18" spans="1:6" ht="28.8" x14ac:dyDescent="0.3">
      <c r="A18" s="1" t="s">
        <v>542</v>
      </c>
      <c r="B18" s="1" t="s">
        <v>565</v>
      </c>
      <c r="C18" s="1" t="s">
        <v>566</v>
      </c>
      <c r="D18" s="1" t="s">
        <v>567</v>
      </c>
      <c r="E18" s="1" t="s">
        <v>568</v>
      </c>
      <c r="F18" s="1" t="s">
        <v>547</v>
      </c>
    </row>
    <row r="19" spans="1:6" x14ac:dyDescent="0.3">
      <c r="A19" s="1" t="s">
        <v>57</v>
      </c>
      <c r="B19" s="1" t="s">
        <v>569</v>
      </c>
      <c r="C19" s="1" t="s">
        <v>570</v>
      </c>
      <c r="D19" s="1" t="s">
        <v>571</v>
      </c>
      <c r="E19" s="1" t="s">
        <v>572</v>
      </c>
      <c r="F19" s="1" t="s">
        <v>573</v>
      </c>
    </row>
    <row r="20" spans="1:6" x14ac:dyDescent="0.3">
      <c r="A20" t="s">
        <v>574</v>
      </c>
      <c r="B20" t="s">
        <v>575</v>
      </c>
      <c r="C20" t="s">
        <v>576</v>
      </c>
      <c r="D20" t="s">
        <v>577</v>
      </c>
      <c r="E20" t="s">
        <v>578</v>
      </c>
      <c r="F20" t="s">
        <v>573</v>
      </c>
    </row>
  </sheetData>
  <dataValidations count="1">
    <dataValidation type="list" sqref="E2:E12" xr:uid="{00000000-0002-0000-0300-000000000000}">
      <formula1>"Not yet checked,Checked and matches,Checked and differs"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/>
  </sheetViews>
  <sheetFormatPr defaultColWidth="8.6640625" defaultRowHeight="14.4" x14ac:dyDescent="0.3"/>
  <cols>
    <col min="1" max="1" width="44" customWidth="1"/>
    <col min="2" max="2" width="14" customWidth="1"/>
    <col min="3" max="3" width="38" customWidth="1"/>
    <col min="4" max="4" width="16" customWidth="1"/>
    <col min="5" max="5" width="18" customWidth="1"/>
    <col min="6" max="6" width="24" customWidth="1"/>
  </cols>
  <sheetData>
    <row r="1" spans="1:6" ht="42" customHeight="1" x14ac:dyDescent="0.3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</row>
    <row r="2" spans="1:6" ht="15" customHeight="1" x14ac:dyDescent="0.3">
      <c r="A2" s="5" t="s">
        <v>32</v>
      </c>
      <c r="B2" s="5" t="s">
        <v>33</v>
      </c>
      <c r="C2" s="5" t="s">
        <v>34</v>
      </c>
      <c r="D2" s="4">
        <v>46320</v>
      </c>
      <c r="E2" s="9"/>
      <c r="F2" s="8" t="s">
        <v>35</v>
      </c>
    </row>
    <row r="3" spans="1:6" ht="15" customHeight="1" x14ac:dyDescent="0.3">
      <c r="A3" s="5" t="s">
        <v>36</v>
      </c>
      <c r="B3" s="5" t="s">
        <v>37</v>
      </c>
      <c r="C3" s="5" t="s">
        <v>34</v>
      </c>
      <c r="D3" s="4">
        <v>46320</v>
      </c>
      <c r="E3" s="9"/>
      <c r="F3" s="8" t="s">
        <v>35</v>
      </c>
    </row>
    <row r="4" spans="1:6" ht="15" customHeight="1" x14ac:dyDescent="0.3">
      <c r="A4" s="5" t="s">
        <v>38</v>
      </c>
      <c r="B4" s="5" t="s">
        <v>39</v>
      </c>
      <c r="C4" s="5" t="s">
        <v>34</v>
      </c>
      <c r="D4" s="4">
        <v>46320</v>
      </c>
      <c r="E4" s="9"/>
      <c r="F4" s="8" t="s">
        <v>35</v>
      </c>
    </row>
    <row r="5" spans="1:6" ht="15" customHeight="1" x14ac:dyDescent="0.3">
      <c r="A5" s="5" t="s">
        <v>40</v>
      </c>
      <c r="B5" s="5" t="s">
        <v>41</v>
      </c>
      <c r="C5" s="5" t="s">
        <v>34</v>
      </c>
      <c r="D5" s="4">
        <v>46320</v>
      </c>
      <c r="E5" s="9"/>
      <c r="F5" s="8" t="s">
        <v>35</v>
      </c>
    </row>
    <row r="6" spans="1:6" ht="15" customHeight="1" x14ac:dyDescent="0.3">
      <c r="A6" s="5" t="s">
        <v>42</v>
      </c>
      <c r="B6" s="5" t="s">
        <v>43</v>
      </c>
      <c r="C6" s="5" t="s">
        <v>34</v>
      </c>
      <c r="D6" s="4">
        <v>46320</v>
      </c>
      <c r="E6" s="9"/>
      <c r="F6" s="8" t="s">
        <v>35</v>
      </c>
    </row>
    <row r="7" spans="1:6" ht="15" customHeight="1" x14ac:dyDescent="0.3">
      <c r="A7" s="5" t="s">
        <v>44</v>
      </c>
      <c r="B7" s="5" t="s">
        <v>45</v>
      </c>
      <c r="C7" s="5" t="s">
        <v>34</v>
      </c>
      <c r="D7" s="4">
        <v>46327</v>
      </c>
      <c r="E7" s="9"/>
      <c r="F7" s="8" t="s">
        <v>35</v>
      </c>
    </row>
    <row r="8" spans="1:6" ht="15" customHeight="1" x14ac:dyDescent="0.3">
      <c r="A8" s="5" t="s">
        <v>46</v>
      </c>
      <c r="B8" s="5" t="s">
        <v>47</v>
      </c>
      <c r="C8" s="5" t="s">
        <v>34</v>
      </c>
      <c r="D8" s="4">
        <v>46327</v>
      </c>
      <c r="E8" s="9"/>
      <c r="F8" s="8" t="s">
        <v>35</v>
      </c>
    </row>
    <row r="9" spans="1:6" ht="23.25" customHeight="1" x14ac:dyDescent="0.3">
      <c r="A9" s="5" t="s">
        <v>48</v>
      </c>
      <c r="B9" s="5" t="s">
        <v>49</v>
      </c>
      <c r="C9" s="5" t="s">
        <v>34</v>
      </c>
      <c r="D9" s="4">
        <v>46327</v>
      </c>
      <c r="E9" s="9"/>
      <c r="F9" s="8" t="s">
        <v>35</v>
      </c>
    </row>
    <row r="11" spans="1:6" ht="15" customHeight="1" x14ac:dyDescent="0.3">
      <c r="A11" s="23" t="s">
        <v>50</v>
      </c>
    </row>
  </sheetData>
  <dataValidations count="1">
    <dataValidation type="list" sqref="F2:F9" xr:uid="{00000000-0002-0000-0400-000000000000}">
      <formula1>"Not yet tested,No,Yes"</formula1>
      <formula2>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2"/>
  <sheetViews>
    <sheetView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62" customWidth="1"/>
    <col min="3" max="3" width="24" customWidth="1"/>
    <col min="4" max="4" width="12" customWidth="1"/>
    <col min="5" max="5" width="18" customWidth="1"/>
    <col min="6" max="6" width="36" customWidth="1"/>
  </cols>
  <sheetData>
    <row r="1" spans="1:6" ht="15" customHeight="1" x14ac:dyDescent="0.3">
      <c r="A1" s="3" t="s">
        <v>26</v>
      </c>
      <c r="B1" s="3" t="s">
        <v>51</v>
      </c>
      <c r="C1" s="3" t="s">
        <v>52</v>
      </c>
      <c r="D1" s="3" t="s">
        <v>53</v>
      </c>
      <c r="E1" s="3" t="s">
        <v>28</v>
      </c>
      <c r="F1" s="3" t="s">
        <v>54</v>
      </c>
    </row>
    <row r="2" spans="1:6" ht="23.25" customHeight="1" x14ac:dyDescent="0.3">
      <c r="A2" s="5" t="s">
        <v>55</v>
      </c>
      <c r="B2" s="5" t="s">
        <v>56</v>
      </c>
      <c r="C2" s="5" t="s">
        <v>57</v>
      </c>
      <c r="D2" s="5" t="s">
        <v>58</v>
      </c>
      <c r="E2" s="8" t="s">
        <v>35</v>
      </c>
      <c r="F2" s="8"/>
    </row>
    <row r="3" spans="1:6" ht="15" customHeight="1" x14ac:dyDescent="0.3">
      <c r="A3" s="5" t="s">
        <v>55</v>
      </c>
      <c r="B3" s="5" t="s">
        <v>59</v>
      </c>
      <c r="C3" s="5" t="s">
        <v>57</v>
      </c>
      <c r="D3" s="5" t="s">
        <v>60</v>
      </c>
      <c r="E3" s="8" t="s">
        <v>35</v>
      </c>
      <c r="F3" s="8"/>
    </row>
    <row r="4" spans="1:6" ht="15" customHeight="1" x14ac:dyDescent="0.3">
      <c r="A4" s="5" t="s">
        <v>61</v>
      </c>
      <c r="B4" s="5" t="s">
        <v>62</v>
      </c>
      <c r="C4" s="5" t="s">
        <v>63</v>
      </c>
      <c r="D4" s="5" t="s">
        <v>37</v>
      </c>
      <c r="E4" s="8" t="s">
        <v>35</v>
      </c>
      <c r="F4" s="8"/>
    </row>
    <row r="5" spans="1:6" ht="15" customHeight="1" x14ac:dyDescent="0.3">
      <c r="A5" s="5" t="s">
        <v>61</v>
      </c>
      <c r="B5" s="5" t="s">
        <v>64</v>
      </c>
      <c r="C5" s="5" t="s">
        <v>63</v>
      </c>
      <c r="D5" s="5" t="s">
        <v>37</v>
      </c>
      <c r="E5" s="8" t="s">
        <v>35</v>
      </c>
      <c r="F5" s="8"/>
    </row>
    <row r="6" spans="1:6" ht="15" customHeight="1" x14ac:dyDescent="0.3">
      <c r="A6" s="5" t="s">
        <v>579</v>
      </c>
      <c r="B6" s="5" t="s">
        <v>580</v>
      </c>
      <c r="C6" s="5" t="s">
        <v>57</v>
      </c>
      <c r="D6" s="5" t="s">
        <v>39</v>
      </c>
      <c r="E6" s="8" t="s">
        <v>35</v>
      </c>
      <c r="F6" s="8" t="s">
        <v>581</v>
      </c>
    </row>
    <row r="7" spans="1:6" ht="15" customHeight="1" x14ac:dyDescent="0.3">
      <c r="A7" s="5" t="s">
        <v>61</v>
      </c>
      <c r="B7" s="5" t="s">
        <v>65</v>
      </c>
      <c r="C7" s="5" t="s">
        <v>63</v>
      </c>
      <c r="D7" s="5" t="s">
        <v>39</v>
      </c>
      <c r="E7" s="8" t="s">
        <v>35</v>
      </c>
      <c r="F7" s="8"/>
    </row>
    <row r="8" spans="1:6" ht="15" customHeight="1" x14ac:dyDescent="0.3">
      <c r="A8" s="5" t="s">
        <v>582</v>
      </c>
      <c r="B8" s="5" t="s">
        <v>583</v>
      </c>
      <c r="C8" s="5" t="s">
        <v>63</v>
      </c>
      <c r="D8" s="5" t="s">
        <v>39</v>
      </c>
      <c r="E8" s="8" t="s">
        <v>35</v>
      </c>
      <c r="F8" s="8" t="s">
        <v>584</v>
      </c>
    </row>
    <row r="9" spans="1:6" ht="15" customHeight="1" x14ac:dyDescent="0.3">
      <c r="A9" s="5" t="s">
        <v>61</v>
      </c>
      <c r="B9" s="5" t="s">
        <v>66</v>
      </c>
      <c r="C9" s="5" t="s">
        <v>57</v>
      </c>
      <c r="D9" s="5" t="s">
        <v>41</v>
      </c>
      <c r="E9" s="8" t="s">
        <v>35</v>
      </c>
      <c r="F9" s="8"/>
    </row>
    <row r="10" spans="1:6" ht="15" customHeight="1" x14ac:dyDescent="0.3">
      <c r="A10" s="5" t="s">
        <v>40</v>
      </c>
      <c r="B10" s="5" t="s">
        <v>585</v>
      </c>
      <c r="C10" s="5" t="s">
        <v>63</v>
      </c>
      <c r="D10" s="5" t="s">
        <v>41</v>
      </c>
      <c r="E10" s="8" t="s">
        <v>35</v>
      </c>
      <c r="F10" s="8" t="s">
        <v>586</v>
      </c>
    </row>
    <row r="11" spans="1:6" ht="15" customHeight="1" x14ac:dyDescent="0.3">
      <c r="A11" s="5" t="s">
        <v>42</v>
      </c>
      <c r="B11" s="5" t="s">
        <v>67</v>
      </c>
      <c r="C11" s="5" t="s">
        <v>57</v>
      </c>
      <c r="D11" s="5" t="s">
        <v>68</v>
      </c>
      <c r="E11" s="8" t="s">
        <v>35</v>
      </c>
      <c r="F11" s="8"/>
    </row>
    <row r="12" spans="1:6" ht="23.25" customHeight="1" x14ac:dyDescent="0.3">
      <c r="A12" s="5" t="s">
        <v>42</v>
      </c>
      <c r="B12" s="5" t="s">
        <v>587</v>
      </c>
      <c r="C12" s="5" t="s">
        <v>75</v>
      </c>
      <c r="D12" s="5" t="s">
        <v>68</v>
      </c>
      <c r="E12" s="8" t="s">
        <v>35</v>
      </c>
      <c r="F12" s="8" t="s">
        <v>588</v>
      </c>
    </row>
    <row r="13" spans="1:6" ht="15" customHeight="1" x14ac:dyDescent="0.3">
      <c r="A13" s="5" t="s">
        <v>42</v>
      </c>
      <c r="B13" s="5" t="s">
        <v>69</v>
      </c>
      <c r="C13" s="5" t="s">
        <v>57</v>
      </c>
      <c r="D13" s="5" t="s">
        <v>70</v>
      </c>
      <c r="E13" s="8" t="s">
        <v>35</v>
      </c>
      <c r="F13" s="8"/>
    </row>
    <row r="14" spans="1:6" ht="15" customHeight="1" x14ac:dyDescent="0.3">
      <c r="A14" s="5" t="s">
        <v>42</v>
      </c>
      <c r="B14" s="5" t="s">
        <v>71</v>
      </c>
      <c r="C14" s="5" t="s">
        <v>57</v>
      </c>
      <c r="D14" s="5" t="s">
        <v>70</v>
      </c>
      <c r="E14" s="8" t="s">
        <v>35</v>
      </c>
      <c r="F14" s="8"/>
    </row>
    <row r="15" spans="1:6" ht="15" customHeight="1" x14ac:dyDescent="0.3">
      <c r="A15" s="5" t="s">
        <v>42</v>
      </c>
      <c r="B15" s="5" t="s">
        <v>72</v>
      </c>
      <c r="C15" s="5" t="s">
        <v>57</v>
      </c>
      <c r="D15" s="5" t="s">
        <v>73</v>
      </c>
      <c r="E15" s="8" t="s">
        <v>35</v>
      </c>
      <c r="F15" s="8"/>
    </row>
    <row r="16" spans="1:6" ht="23.25" customHeight="1" x14ac:dyDescent="0.3">
      <c r="A16" s="5" t="s">
        <v>42</v>
      </c>
      <c r="B16" s="5" t="s">
        <v>74</v>
      </c>
      <c r="C16" s="5" t="s">
        <v>75</v>
      </c>
      <c r="D16" s="5" t="s">
        <v>73</v>
      </c>
      <c r="E16" s="8" t="s">
        <v>35</v>
      </c>
      <c r="F16" s="8"/>
    </row>
    <row r="17" spans="1:6" ht="15" customHeight="1" x14ac:dyDescent="0.3">
      <c r="A17" s="5" t="s">
        <v>42</v>
      </c>
      <c r="B17" s="5" t="s">
        <v>589</v>
      </c>
      <c r="C17" s="5" t="s">
        <v>57</v>
      </c>
      <c r="D17" s="5" t="s">
        <v>77</v>
      </c>
      <c r="E17" s="8" t="s">
        <v>35</v>
      </c>
      <c r="F17" s="8" t="s">
        <v>590</v>
      </c>
    </row>
    <row r="18" spans="1:6" ht="23.25" customHeight="1" x14ac:dyDescent="0.3">
      <c r="A18" s="5" t="s">
        <v>42</v>
      </c>
      <c r="B18" s="5" t="s">
        <v>76</v>
      </c>
      <c r="C18" s="5" t="s">
        <v>75</v>
      </c>
      <c r="D18" s="5" t="s">
        <v>77</v>
      </c>
      <c r="E18" s="8" t="s">
        <v>35</v>
      </c>
      <c r="F18" s="8"/>
    </row>
    <row r="19" spans="1:6" ht="23.25" customHeight="1" x14ac:dyDescent="0.3">
      <c r="A19" s="5" t="s">
        <v>42</v>
      </c>
      <c r="B19" s="5" t="s">
        <v>78</v>
      </c>
      <c r="C19" s="5" t="s">
        <v>75</v>
      </c>
      <c r="D19" s="5" t="s">
        <v>77</v>
      </c>
      <c r="E19" s="8" t="s">
        <v>35</v>
      </c>
      <c r="F19" s="8"/>
    </row>
    <row r="20" spans="1:6" ht="15" customHeight="1" x14ac:dyDescent="0.3">
      <c r="A20" s="5" t="s">
        <v>44</v>
      </c>
      <c r="B20" s="5" t="s">
        <v>591</v>
      </c>
      <c r="C20" s="5" t="s">
        <v>57</v>
      </c>
      <c r="D20" s="5" t="s">
        <v>80</v>
      </c>
      <c r="E20" s="8" t="s">
        <v>35</v>
      </c>
      <c r="F20" s="8" t="s">
        <v>592</v>
      </c>
    </row>
    <row r="21" spans="1:6" ht="15" customHeight="1" x14ac:dyDescent="0.3">
      <c r="A21" s="5" t="s">
        <v>44</v>
      </c>
      <c r="B21" s="5" t="s">
        <v>79</v>
      </c>
      <c r="C21" s="5" t="s">
        <v>63</v>
      </c>
      <c r="D21" s="5" t="s">
        <v>80</v>
      </c>
      <c r="E21" s="8" t="s">
        <v>35</v>
      </c>
      <c r="F21" s="8"/>
    </row>
    <row r="22" spans="1:6" ht="15" customHeight="1" x14ac:dyDescent="0.3">
      <c r="A22" s="5" t="s">
        <v>44</v>
      </c>
      <c r="B22" s="5" t="s">
        <v>81</v>
      </c>
      <c r="C22" s="5" t="s">
        <v>63</v>
      </c>
      <c r="D22" s="5" t="s">
        <v>80</v>
      </c>
      <c r="E22" s="8" t="s">
        <v>35</v>
      </c>
      <c r="F22" s="8"/>
    </row>
    <row r="23" spans="1:6" ht="15" customHeight="1" x14ac:dyDescent="0.3">
      <c r="A23" s="5" t="s">
        <v>44</v>
      </c>
      <c r="B23" s="5" t="s">
        <v>82</v>
      </c>
      <c r="C23" s="5" t="s">
        <v>57</v>
      </c>
      <c r="D23" s="5" t="s">
        <v>83</v>
      </c>
      <c r="E23" s="8" t="s">
        <v>35</v>
      </c>
      <c r="F23" s="8"/>
    </row>
    <row r="24" spans="1:6" ht="23.25" customHeight="1" x14ac:dyDescent="0.3">
      <c r="A24" s="5" t="s">
        <v>44</v>
      </c>
      <c r="B24" s="5" t="s">
        <v>84</v>
      </c>
      <c r="C24" s="5" t="s">
        <v>75</v>
      </c>
      <c r="D24" s="5" t="s">
        <v>83</v>
      </c>
      <c r="E24" s="8" t="s">
        <v>35</v>
      </c>
      <c r="F24" s="8"/>
    </row>
    <row r="25" spans="1:6" ht="23.25" customHeight="1" x14ac:dyDescent="0.3">
      <c r="A25" s="5" t="s">
        <v>46</v>
      </c>
      <c r="B25" s="5" t="s">
        <v>593</v>
      </c>
      <c r="C25" s="5" t="s">
        <v>57</v>
      </c>
      <c r="D25" s="5" t="s">
        <v>594</v>
      </c>
      <c r="E25" s="8" t="s">
        <v>35</v>
      </c>
      <c r="F25" s="8" t="s">
        <v>595</v>
      </c>
    </row>
    <row r="26" spans="1:6" ht="23.25" customHeight="1" x14ac:dyDescent="0.3">
      <c r="A26" s="5" t="s">
        <v>46</v>
      </c>
      <c r="B26" s="5" t="s">
        <v>85</v>
      </c>
      <c r="C26" s="5" t="s">
        <v>57</v>
      </c>
      <c r="D26" s="5" t="s">
        <v>86</v>
      </c>
      <c r="E26" s="8" t="s">
        <v>35</v>
      </c>
      <c r="F26" s="8"/>
    </row>
    <row r="27" spans="1:6" ht="15" customHeight="1" x14ac:dyDescent="0.3">
      <c r="A27" s="5" t="s">
        <v>46</v>
      </c>
      <c r="B27" s="5" t="s">
        <v>87</v>
      </c>
      <c r="C27" s="5" t="s">
        <v>57</v>
      </c>
      <c r="D27" s="5" t="s">
        <v>86</v>
      </c>
      <c r="E27" s="8" t="s">
        <v>35</v>
      </c>
      <c r="F27" s="8"/>
    </row>
    <row r="28" spans="1:6" ht="23.25" customHeight="1" x14ac:dyDescent="0.3">
      <c r="A28" s="5" t="s">
        <v>46</v>
      </c>
      <c r="B28" s="5" t="s">
        <v>88</v>
      </c>
      <c r="C28" s="5" t="s">
        <v>75</v>
      </c>
      <c r="D28" s="5" t="s">
        <v>86</v>
      </c>
      <c r="E28" s="8" t="s">
        <v>35</v>
      </c>
      <c r="F28" s="8"/>
    </row>
    <row r="29" spans="1:6" ht="15" customHeight="1" x14ac:dyDescent="0.3">
      <c r="A29" s="5" t="s">
        <v>46</v>
      </c>
      <c r="B29" s="5" t="s">
        <v>89</v>
      </c>
      <c r="C29" s="5" t="s">
        <v>57</v>
      </c>
      <c r="D29" s="5" t="s">
        <v>90</v>
      </c>
      <c r="E29" s="8" t="s">
        <v>35</v>
      </c>
      <c r="F29" s="8"/>
    </row>
    <row r="30" spans="1:6" ht="15" customHeight="1" x14ac:dyDescent="0.3">
      <c r="A30" s="5" t="s">
        <v>46</v>
      </c>
      <c r="B30" s="5" t="s">
        <v>91</v>
      </c>
      <c r="C30" s="5" t="s">
        <v>57</v>
      </c>
      <c r="D30" s="5" t="s">
        <v>92</v>
      </c>
      <c r="E30" s="8" t="s">
        <v>35</v>
      </c>
      <c r="F30" s="8"/>
    </row>
    <row r="31" spans="1:6" ht="23.25" customHeight="1" x14ac:dyDescent="0.3">
      <c r="A31" s="5" t="s">
        <v>46</v>
      </c>
      <c r="B31" s="5" t="s">
        <v>596</v>
      </c>
      <c r="C31" s="5" t="s">
        <v>75</v>
      </c>
      <c r="D31" s="5" t="s">
        <v>92</v>
      </c>
      <c r="E31" s="8" t="s">
        <v>35</v>
      </c>
      <c r="F31" s="8" t="s">
        <v>597</v>
      </c>
    </row>
    <row r="32" spans="1:6" ht="23.25" customHeight="1" x14ac:dyDescent="0.3">
      <c r="A32" s="5" t="s">
        <v>46</v>
      </c>
      <c r="B32" s="5" t="s">
        <v>93</v>
      </c>
      <c r="C32" s="5" t="s">
        <v>75</v>
      </c>
      <c r="D32" s="5" t="s">
        <v>92</v>
      </c>
      <c r="E32" s="8" t="s">
        <v>35</v>
      </c>
      <c r="F32" s="8"/>
    </row>
    <row r="33" spans="1:6" ht="23.25" customHeight="1" x14ac:dyDescent="0.3">
      <c r="A33" s="5" t="s">
        <v>94</v>
      </c>
      <c r="B33" s="5" t="s">
        <v>95</v>
      </c>
      <c r="C33" s="5" t="s">
        <v>75</v>
      </c>
      <c r="D33" s="5" t="s">
        <v>96</v>
      </c>
      <c r="E33" s="8" t="s">
        <v>35</v>
      </c>
      <c r="F33" s="8"/>
    </row>
    <row r="34" spans="1:6" ht="23.25" customHeight="1" x14ac:dyDescent="0.3">
      <c r="A34" s="5" t="s">
        <v>94</v>
      </c>
      <c r="B34" s="5" t="s">
        <v>97</v>
      </c>
      <c r="C34" s="5" t="s">
        <v>75</v>
      </c>
      <c r="D34" s="5" t="s">
        <v>96</v>
      </c>
      <c r="E34" s="8" t="s">
        <v>35</v>
      </c>
      <c r="F34" s="8"/>
    </row>
    <row r="35" spans="1:6" ht="23.25" customHeight="1" x14ac:dyDescent="0.3">
      <c r="A35" s="5" t="s">
        <v>94</v>
      </c>
      <c r="B35" s="5" t="s">
        <v>98</v>
      </c>
      <c r="C35" s="5" t="s">
        <v>75</v>
      </c>
      <c r="D35" s="5" t="s">
        <v>96</v>
      </c>
      <c r="E35" s="8" t="s">
        <v>35</v>
      </c>
      <c r="F35" s="8"/>
    </row>
    <row r="36" spans="1:6" ht="23.25" customHeight="1" x14ac:dyDescent="0.3">
      <c r="A36" s="5" t="s">
        <v>94</v>
      </c>
      <c r="B36" s="5" t="s">
        <v>99</v>
      </c>
      <c r="C36" s="5" t="s">
        <v>75</v>
      </c>
      <c r="D36" s="5" t="s">
        <v>100</v>
      </c>
      <c r="E36" s="8" t="s">
        <v>35</v>
      </c>
      <c r="F36" s="8"/>
    </row>
    <row r="38" spans="1:6" ht="15" customHeight="1" x14ac:dyDescent="0.3">
      <c r="A38" s="45" t="s">
        <v>101</v>
      </c>
      <c r="B38" s="45"/>
      <c r="C38" s="45"/>
      <c r="D38" s="45"/>
      <c r="E38" s="2">
        <f>COUNTIF(E2:E36,"Solid")</f>
        <v>0</v>
      </c>
    </row>
    <row r="39" spans="1:6" ht="15" customHeight="1" x14ac:dyDescent="0.3">
      <c r="A39" s="45" t="s">
        <v>102</v>
      </c>
      <c r="B39" s="45"/>
      <c r="C39" s="45"/>
      <c r="D39" s="45"/>
      <c r="E39" s="2">
        <f>COUNTIF(E2:E36,"Needs revision")+COUNTIF(E2:E36,"Not covered")</f>
        <v>0</v>
      </c>
    </row>
    <row r="40" spans="1:6" ht="15" customHeight="1" x14ac:dyDescent="0.3">
      <c r="A40" s="45" t="s">
        <v>103</v>
      </c>
      <c r="B40" s="45"/>
      <c r="C40" s="45"/>
      <c r="D40" s="45"/>
      <c r="E40" s="2">
        <f>COUNTIF(E2:E36,"Not yet tested")</f>
        <v>35</v>
      </c>
    </row>
    <row r="42" spans="1:6" ht="60" customHeight="1" x14ac:dyDescent="0.3">
      <c r="A42" s="46" t="s">
        <v>598</v>
      </c>
      <c r="B42" s="47"/>
      <c r="C42" s="47"/>
      <c r="D42" s="47"/>
      <c r="E42" s="47"/>
      <c r="F42" s="47"/>
    </row>
  </sheetData>
  <mergeCells count="4">
    <mergeCell ref="A38:D38"/>
    <mergeCell ref="A39:D39"/>
    <mergeCell ref="A40:D40"/>
    <mergeCell ref="A42:F42"/>
  </mergeCells>
  <conditionalFormatting sqref="E2:E36">
    <cfRule type="cellIs" dxfId="4" priority="2" operator="equal">
      <formula>"Solid"</formula>
    </cfRule>
    <cfRule type="cellIs" dxfId="3" priority="3" operator="equal">
      <formula>"Needs revision"</formula>
    </cfRule>
    <cfRule type="cellIs" dxfId="2" priority="4" operator="equal">
      <formula>"Not covered"</formula>
    </cfRule>
  </conditionalFormatting>
  <dataValidations count="1">
    <dataValidation type="list" sqref="E2:E36" xr:uid="{00000000-0002-0000-0500-000000000000}">
      <formula1>"Not yet tested,Solid,Needs revision,Not covered"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6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8.6640625" defaultRowHeight="14.4" x14ac:dyDescent="0.3"/>
  <cols>
    <col min="1" max="1" width="34" customWidth="1"/>
    <col min="2" max="2" width="72" customWidth="1"/>
    <col min="3" max="3" width="22" customWidth="1"/>
    <col min="4" max="4" width="16" customWidth="1"/>
    <col min="5" max="5" width="10" customWidth="1"/>
    <col min="6" max="6" width="16" customWidth="1"/>
    <col min="7" max="7" width="22" customWidth="1"/>
    <col min="8" max="8" width="34" customWidth="1"/>
  </cols>
  <sheetData>
    <row r="1" spans="1:8" ht="31.5" customHeight="1" x14ac:dyDescent="0.3">
      <c r="A1" s="3" t="s">
        <v>26</v>
      </c>
      <c r="B1" s="3" t="s">
        <v>51</v>
      </c>
      <c r="C1" s="3" t="s">
        <v>4</v>
      </c>
      <c r="D1" s="3" t="s">
        <v>104</v>
      </c>
      <c r="E1" s="3" t="s">
        <v>105</v>
      </c>
      <c r="F1" s="3" t="s">
        <v>28</v>
      </c>
      <c r="G1" s="3" t="s">
        <v>106</v>
      </c>
      <c r="H1" s="3" t="s">
        <v>54</v>
      </c>
    </row>
    <row r="2" spans="1:8" x14ac:dyDescent="0.3">
      <c r="A2" s="5" t="s">
        <v>107</v>
      </c>
      <c r="B2" s="5" t="s">
        <v>108</v>
      </c>
      <c r="C2" s="5" t="s">
        <v>109</v>
      </c>
      <c r="D2" s="4">
        <f>IFERROR(INDEX('Daily Plan'!$A$2:$A$107,MATCH(C2,'Daily Plan'!$E$2:$E$107,0)),"")</f>
        <v>46367</v>
      </c>
      <c r="E2" s="5" t="s">
        <v>110</v>
      </c>
      <c r="F2" s="8" t="s">
        <v>111</v>
      </c>
      <c r="G2" s="8"/>
      <c r="H2" s="8"/>
    </row>
    <row r="3" spans="1:8" x14ac:dyDescent="0.3">
      <c r="A3" s="5" t="s">
        <v>107</v>
      </c>
      <c r="B3" s="5" t="s">
        <v>112</v>
      </c>
      <c r="C3" s="5" t="s">
        <v>109</v>
      </c>
      <c r="D3" s="4">
        <f>IFERROR(INDEX('Daily Plan'!$A$2:$A$107,MATCH(C3,'Daily Plan'!$E$2:$E$107,0)),"")</f>
        <v>46367</v>
      </c>
      <c r="E3" s="5" t="s">
        <v>110</v>
      </c>
      <c r="F3" s="8" t="s">
        <v>111</v>
      </c>
      <c r="G3" s="8"/>
      <c r="H3" s="8"/>
    </row>
    <row r="4" spans="1:8" ht="26.4" x14ac:dyDescent="0.3">
      <c r="A4" s="5" t="s">
        <v>107</v>
      </c>
      <c r="B4" s="5" t="s">
        <v>113</v>
      </c>
      <c r="C4" s="5" t="s">
        <v>109</v>
      </c>
      <c r="D4" s="4">
        <f>IFERROR(INDEX('Daily Plan'!$A$2:$A$107,MATCH(C4,'Daily Plan'!$E$2:$E$107,0)),"")</f>
        <v>46367</v>
      </c>
      <c r="E4" s="5" t="s">
        <v>110</v>
      </c>
      <c r="F4" s="8" t="s">
        <v>111</v>
      </c>
      <c r="G4" s="8"/>
      <c r="H4" s="8"/>
    </row>
    <row r="5" spans="1:8" ht="26.4" x14ac:dyDescent="0.3">
      <c r="A5" s="5" t="s">
        <v>107</v>
      </c>
      <c r="B5" s="5" t="s">
        <v>114</v>
      </c>
      <c r="C5" s="5" t="s">
        <v>115</v>
      </c>
      <c r="D5" s="4">
        <f>IFERROR(INDEX('Daily Plan'!$A$2:$A$107,MATCH(C5,'Daily Plan'!$E$2:$E$107,0)),"")</f>
        <v>46368</v>
      </c>
      <c r="E5" s="5" t="s">
        <v>110</v>
      </c>
      <c r="F5" s="8" t="s">
        <v>111</v>
      </c>
      <c r="G5" s="8"/>
      <c r="H5" s="8"/>
    </row>
    <row r="6" spans="1:8" ht="26.4" x14ac:dyDescent="0.3">
      <c r="A6" s="5" t="s">
        <v>107</v>
      </c>
      <c r="B6" s="5" t="s">
        <v>116</v>
      </c>
      <c r="C6" s="5" t="s">
        <v>117</v>
      </c>
      <c r="D6" s="4">
        <f>IFERROR(INDEX('Daily Plan'!$A$2:$A$107,MATCH(C6,'Daily Plan'!$E$2:$E$107,0)),"")</f>
        <v>46371</v>
      </c>
      <c r="E6" s="5" t="s">
        <v>110</v>
      </c>
      <c r="F6" s="8" t="s">
        <v>111</v>
      </c>
      <c r="G6" s="8"/>
      <c r="H6" s="8"/>
    </row>
    <row r="7" spans="1:8" x14ac:dyDescent="0.3">
      <c r="A7" s="5" t="s">
        <v>107</v>
      </c>
      <c r="B7" s="5" t="s">
        <v>118</v>
      </c>
      <c r="C7" s="5" t="s">
        <v>119</v>
      </c>
      <c r="D7" s="4">
        <f>IFERROR(INDEX('Daily Plan'!$A$2:$A$107,MATCH(C7,'Daily Plan'!$E$2:$E$107,0)),"")</f>
        <v>46372</v>
      </c>
      <c r="E7" s="5" t="s">
        <v>110</v>
      </c>
      <c r="F7" s="8" t="s">
        <v>111</v>
      </c>
      <c r="G7" s="8"/>
      <c r="H7" s="8"/>
    </row>
    <row r="8" spans="1:8" x14ac:dyDescent="0.3">
      <c r="A8" s="5" t="s">
        <v>107</v>
      </c>
      <c r="B8" s="5" t="s">
        <v>120</v>
      </c>
      <c r="C8" s="5" t="s">
        <v>119</v>
      </c>
      <c r="D8" s="4">
        <f>IFERROR(INDEX('Daily Plan'!$A$2:$A$107,MATCH(C8,'Daily Plan'!$E$2:$E$107,0)),"")</f>
        <v>46372</v>
      </c>
      <c r="E8" s="5" t="s">
        <v>110</v>
      </c>
      <c r="F8" s="8" t="s">
        <v>111</v>
      </c>
      <c r="G8" s="8"/>
      <c r="H8" s="8"/>
    </row>
    <row r="9" spans="1:8" ht="52.8" x14ac:dyDescent="0.3">
      <c r="A9" s="5" t="s">
        <v>107</v>
      </c>
      <c r="B9" s="5" t="s">
        <v>599</v>
      </c>
      <c r="C9" s="5" t="s">
        <v>353</v>
      </c>
      <c r="D9" s="4"/>
      <c r="E9" s="5" t="s">
        <v>110</v>
      </c>
      <c r="F9" s="8" t="s">
        <v>111</v>
      </c>
      <c r="G9" s="8"/>
      <c r="H9" s="8" t="s">
        <v>600</v>
      </c>
    </row>
    <row r="10" spans="1:8" ht="26.4" x14ac:dyDescent="0.3">
      <c r="A10" s="5" t="s">
        <v>107</v>
      </c>
      <c r="B10" s="5" t="s">
        <v>601</v>
      </c>
      <c r="C10" s="5" t="s">
        <v>353</v>
      </c>
      <c r="D10" s="4"/>
      <c r="E10" s="5" t="s">
        <v>110</v>
      </c>
      <c r="F10" s="8" t="s">
        <v>111</v>
      </c>
      <c r="G10" s="8"/>
      <c r="H10" s="8"/>
    </row>
    <row r="11" spans="1:8" x14ac:dyDescent="0.3">
      <c r="A11" s="5" t="s">
        <v>121</v>
      </c>
      <c r="B11" s="5" t="s">
        <v>122</v>
      </c>
      <c r="C11" s="5" t="s">
        <v>123</v>
      </c>
      <c r="D11" s="4">
        <f>IFERROR(INDEX('Daily Plan'!$A$2:$A$107,MATCH(C11,'Daily Plan'!$E$2:$E$107,0)),"")</f>
        <v>46339</v>
      </c>
      <c r="E11" s="5" t="s">
        <v>110</v>
      </c>
      <c r="F11" s="8" t="s">
        <v>111</v>
      </c>
      <c r="G11" s="8"/>
      <c r="H11" s="8"/>
    </row>
    <row r="12" spans="1:8" x14ac:dyDescent="0.3">
      <c r="A12" s="5" t="s">
        <v>121</v>
      </c>
      <c r="B12" s="5" t="s">
        <v>124</v>
      </c>
      <c r="C12" s="5" t="s">
        <v>125</v>
      </c>
      <c r="D12" s="4">
        <f>IFERROR(INDEX('Daily Plan'!$A$2:$A$107,MATCH(C12,'Daily Plan'!$E$2:$E$107,0)),"")</f>
        <v>46340</v>
      </c>
      <c r="E12" s="5" t="s">
        <v>110</v>
      </c>
      <c r="F12" s="8" t="s">
        <v>111</v>
      </c>
      <c r="G12" s="8"/>
      <c r="H12" s="8"/>
    </row>
    <row r="13" spans="1:8" ht="26.4" x14ac:dyDescent="0.3">
      <c r="A13" s="5" t="s">
        <v>121</v>
      </c>
      <c r="B13" s="5" t="s">
        <v>126</v>
      </c>
      <c r="C13" s="5" t="s">
        <v>127</v>
      </c>
      <c r="D13" s="4">
        <f>IFERROR(INDEX('Daily Plan'!$A$2:$A$107,MATCH(C13,'Daily Plan'!$E$2:$E$107,0)),"")</f>
        <v>46342</v>
      </c>
      <c r="E13" s="5" t="s">
        <v>110</v>
      </c>
      <c r="F13" s="8" t="s">
        <v>111</v>
      </c>
      <c r="G13" s="8"/>
      <c r="H13" s="8"/>
    </row>
    <row r="14" spans="1:8" x14ac:dyDescent="0.3">
      <c r="A14" s="5" t="s">
        <v>121</v>
      </c>
      <c r="B14" s="5" t="s">
        <v>128</v>
      </c>
      <c r="C14" s="5" t="s">
        <v>129</v>
      </c>
      <c r="D14" s="4">
        <f>IFERROR(INDEX('Daily Plan'!$A$2:$A$107,MATCH(C14,'Daily Plan'!$E$2:$E$107,0)),"")</f>
        <v>46344</v>
      </c>
      <c r="E14" s="5" t="s">
        <v>110</v>
      </c>
      <c r="F14" s="8" t="s">
        <v>111</v>
      </c>
      <c r="G14" s="8"/>
      <c r="H14" s="8"/>
    </row>
    <row r="15" spans="1:8" ht="26.4" x14ac:dyDescent="0.3">
      <c r="A15" s="5" t="s">
        <v>121</v>
      </c>
      <c r="B15" s="5" t="s">
        <v>130</v>
      </c>
      <c r="C15" s="5" t="s">
        <v>129</v>
      </c>
      <c r="D15" s="4">
        <f>IFERROR(INDEX('Daily Plan'!$A$2:$A$107,MATCH(C15,'Daily Plan'!$E$2:$E$107,0)),"")</f>
        <v>46344</v>
      </c>
      <c r="E15" s="5" t="s">
        <v>110</v>
      </c>
      <c r="F15" s="8" t="s">
        <v>111</v>
      </c>
      <c r="G15" s="8"/>
      <c r="H15" s="8"/>
    </row>
    <row r="16" spans="1:8" x14ac:dyDescent="0.3">
      <c r="A16" s="5" t="s">
        <v>121</v>
      </c>
      <c r="B16" s="5" t="s">
        <v>131</v>
      </c>
      <c r="C16" s="5" t="s">
        <v>132</v>
      </c>
      <c r="D16" s="4">
        <f>IFERROR(INDEX('Daily Plan'!$A$2:$A$107,MATCH(C16,'Daily Plan'!$E$2:$E$107,0)),"")</f>
        <v>46346</v>
      </c>
      <c r="E16" s="5" t="s">
        <v>110</v>
      </c>
      <c r="F16" s="8" t="s">
        <v>111</v>
      </c>
      <c r="G16" s="8"/>
      <c r="H16" s="8"/>
    </row>
    <row r="17" spans="1:8" x14ac:dyDescent="0.3">
      <c r="A17" s="5" t="s">
        <v>121</v>
      </c>
      <c r="B17" s="5" t="s">
        <v>133</v>
      </c>
      <c r="C17" s="5" t="s">
        <v>134</v>
      </c>
      <c r="D17" s="4">
        <f>IFERROR(INDEX('Daily Plan'!$A$2:$A$107,MATCH(C17,'Daily Plan'!$E$2:$E$107,0)),"")</f>
        <v>46347</v>
      </c>
      <c r="E17" s="5" t="s">
        <v>110</v>
      </c>
      <c r="F17" s="8" t="s">
        <v>111</v>
      </c>
      <c r="G17" s="8"/>
      <c r="H17" s="8"/>
    </row>
    <row r="18" spans="1:8" x14ac:dyDescent="0.3">
      <c r="A18" s="5" t="s">
        <v>121</v>
      </c>
      <c r="B18" s="5" t="s">
        <v>135</v>
      </c>
      <c r="C18" s="5" t="s">
        <v>134</v>
      </c>
      <c r="D18" s="4">
        <f>IFERROR(INDEX('Daily Plan'!$A$2:$A$107,MATCH(C18,'Daily Plan'!$E$2:$E$107,0)),"")</f>
        <v>46347</v>
      </c>
      <c r="E18" s="5" t="s">
        <v>110</v>
      </c>
      <c r="F18" s="8" t="s">
        <v>111</v>
      </c>
      <c r="G18" s="8"/>
      <c r="H18" s="8"/>
    </row>
    <row r="19" spans="1:8" ht="26.4" x14ac:dyDescent="0.3">
      <c r="A19" s="5" t="s">
        <v>121</v>
      </c>
      <c r="B19" s="5" t="s">
        <v>602</v>
      </c>
      <c r="C19" s="5" t="s">
        <v>299</v>
      </c>
      <c r="D19" s="4"/>
      <c r="E19" s="5" t="s">
        <v>138</v>
      </c>
      <c r="F19" s="8" t="s">
        <v>111</v>
      </c>
      <c r="G19" s="8"/>
      <c r="H19" s="8"/>
    </row>
    <row r="20" spans="1:8" ht="26.4" x14ac:dyDescent="0.3">
      <c r="A20" s="5" t="s">
        <v>121</v>
      </c>
      <c r="B20" s="5" t="s">
        <v>136</v>
      </c>
      <c r="C20" s="5" t="s">
        <v>137</v>
      </c>
      <c r="D20" s="4">
        <f>IFERROR(INDEX('Daily Plan'!$A$2:$A$107,MATCH(C20,'Daily Plan'!$E$2:$E$107,0)),"")</f>
        <v>46350</v>
      </c>
      <c r="E20" s="5" t="s">
        <v>138</v>
      </c>
      <c r="F20" s="8" t="s">
        <v>111</v>
      </c>
      <c r="G20" s="8"/>
      <c r="H20" s="8"/>
    </row>
    <row r="21" spans="1:8" ht="26.4" x14ac:dyDescent="0.3">
      <c r="A21" s="5" t="s">
        <v>139</v>
      </c>
      <c r="B21" s="5" t="s">
        <v>140</v>
      </c>
      <c r="C21" s="5" t="s">
        <v>141</v>
      </c>
      <c r="D21" s="4">
        <f>IFERROR(INDEX('Daily Plan'!$A$2:$A$107,MATCH(C21,'Daily Plan'!$E$2:$E$107,0)),"")</f>
        <v>46351</v>
      </c>
      <c r="E21" s="5" t="s">
        <v>110</v>
      </c>
      <c r="F21" s="8" t="s">
        <v>111</v>
      </c>
      <c r="G21" s="8"/>
      <c r="H21" s="8"/>
    </row>
    <row r="22" spans="1:8" x14ac:dyDescent="0.3">
      <c r="A22" s="5" t="s">
        <v>139</v>
      </c>
      <c r="B22" s="5" t="s">
        <v>142</v>
      </c>
      <c r="C22" s="5" t="s">
        <v>143</v>
      </c>
      <c r="D22" s="4">
        <f>IFERROR(INDEX('Daily Plan'!$A$2:$A$107,MATCH(C22,'Daily Plan'!$E$2:$E$107,0)),"")</f>
        <v>46352</v>
      </c>
      <c r="E22" s="5" t="s">
        <v>110</v>
      </c>
      <c r="F22" s="8" t="s">
        <v>111</v>
      </c>
      <c r="G22" s="8"/>
      <c r="H22" s="8"/>
    </row>
    <row r="23" spans="1:8" x14ac:dyDescent="0.3">
      <c r="A23" s="5" t="s">
        <v>139</v>
      </c>
      <c r="B23" s="5" t="s">
        <v>144</v>
      </c>
      <c r="C23" s="5" t="s">
        <v>145</v>
      </c>
      <c r="D23" s="4">
        <f>IFERROR(INDEX('Daily Plan'!$A$2:$A$107,MATCH(C23,'Daily Plan'!$E$2:$E$107,0)),"")</f>
        <v>46353</v>
      </c>
      <c r="E23" s="5" t="s">
        <v>110</v>
      </c>
      <c r="F23" s="8" t="s">
        <v>111</v>
      </c>
      <c r="G23" s="8"/>
      <c r="H23" s="8"/>
    </row>
    <row r="24" spans="1:8" ht="26.4" x14ac:dyDescent="0.3">
      <c r="A24" s="5" t="s">
        <v>139</v>
      </c>
      <c r="B24" s="5" t="s">
        <v>146</v>
      </c>
      <c r="C24" s="5" t="s">
        <v>145</v>
      </c>
      <c r="D24" s="4">
        <f>IFERROR(INDEX('Daily Plan'!$A$2:$A$107,MATCH(C24,'Daily Plan'!$E$2:$E$107,0)),"")</f>
        <v>46353</v>
      </c>
      <c r="E24" s="5" t="s">
        <v>110</v>
      </c>
      <c r="F24" s="8" t="s">
        <v>111</v>
      </c>
      <c r="G24" s="8"/>
      <c r="H24" s="8"/>
    </row>
    <row r="25" spans="1:8" x14ac:dyDescent="0.3">
      <c r="A25" s="5" t="s">
        <v>139</v>
      </c>
      <c r="B25" s="5" t="s">
        <v>147</v>
      </c>
      <c r="C25" s="5" t="s">
        <v>148</v>
      </c>
      <c r="D25" s="4">
        <f>IFERROR(INDEX('Daily Plan'!$A$2:$A$107,MATCH(C25,'Daily Plan'!$E$2:$E$107,0)),"")</f>
        <v>46354</v>
      </c>
      <c r="E25" s="5" t="s">
        <v>110</v>
      </c>
      <c r="F25" s="8" t="s">
        <v>111</v>
      </c>
      <c r="G25" s="8"/>
      <c r="H25" s="8"/>
    </row>
    <row r="26" spans="1:8" ht="39.6" x14ac:dyDescent="0.3">
      <c r="A26" s="5" t="s">
        <v>139</v>
      </c>
      <c r="B26" s="5" t="s">
        <v>603</v>
      </c>
      <c r="C26" s="5" t="s">
        <v>148</v>
      </c>
      <c r="D26" s="4"/>
      <c r="E26" s="5" t="s">
        <v>110</v>
      </c>
      <c r="F26" s="8" t="s">
        <v>111</v>
      </c>
      <c r="G26" s="8"/>
      <c r="H26" s="8" t="s">
        <v>604</v>
      </c>
    </row>
    <row r="27" spans="1:8" x14ac:dyDescent="0.3">
      <c r="A27" s="5" t="s">
        <v>149</v>
      </c>
      <c r="B27" s="5" t="s">
        <v>150</v>
      </c>
      <c r="C27" s="5" t="s">
        <v>143</v>
      </c>
      <c r="D27" s="4">
        <f>IFERROR(INDEX('Daily Plan'!$A$2:$A$107,MATCH(C27,'Daily Plan'!$E$2:$E$107,0)),"")</f>
        <v>46352</v>
      </c>
      <c r="E27" s="5" t="s">
        <v>110</v>
      </c>
      <c r="F27" s="8" t="s">
        <v>111</v>
      </c>
      <c r="G27" s="8"/>
      <c r="H27" s="8"/>
    </row>
    <row r="28" spans="1:8" x14ac:dyDescent="0.3">
      <c r="A28" s="5" t="s">
        <v>149</v>
      </c>
      <c r="B28" s="5" t="s">
        <v>151</v>
      </c>
      <c r="C28" s="5" t="s">
        <v>152</v>
      </c>
      <c r="D28" s="4">
        <f>IFERROR(INDEX('Daily Plan'!$A$2:$A$107,MATCH(C28,'Daily Plan'!$E$2:$E$107,0)),"")</f>
        <v>46356</v>
      </c>
      <c r="E28" s="5" t="s">
        <v>110</v>
      </c>
      <c r="F28" s="8" t="s">
        <v>111</v>
      </c>
      <c r="G28" s="8"/>
      <c r="H28" s="8"/>
    </row>
    <row r="29" spans="1:8" x14ac:dyDescent="0.3">
      <c r="A29" s="5" t="s">
        <v>149</v>
      </c>
      <c r="B29" s="5" t="s">
        <v>153</v>
      </c>
      <c r="C29" s="5" t="s">
        <v>154</v>
      </c>
      <c r="D29" s="4">
        <f>IFERROR(INDEX('Daily Plan'!$A$2:$A$107,MATCH(C29,'Daily Plan'!$E$2:$E$107,0)),"")</f>
        <v>46358</v>
      </c>
      <c r="E29" s="5" t="s">
        <v>110</v>
      </c>
      <c r="F29" s="8" t="s">
        <v>111</v>
      </c>
      <c r="G29" s="8"/>
      <c r="H29" s="8"/>
    </row>
    <row r="30" spans="1:8" x14ac:dyDescent="0.3">
      <c r="A30" s="5" t="s">
        <v>149</v>
      </c>
      <c r="B30" s="5" t="s">
        <v>155</v>
      </c>
      <c r="C30" s="5" t="s">
        <v>154</v>
      </c>
      <c r="D30" s="4">
        <f>IFERROR(INDEX('Daily Plan'!$A$2:$A$107,MATCH(C30,'Daily Plan'!$E$2:$E$107,0)),"")</f>
        <v>46358</v>
      </c>
      <c r="E30" s="5" t="s">
        <v>138</v>
      </c>
      <c r="F30" s="8" t="s">
        <v>111</v>
      </c>
      <c r="G30" s="8"/>
      <c r="H30" s="8"/>
    </row>
    <row r="31" spans="1:8" x14ac:dyDescent="0.3">
      <c r="A31" s="5" t="s">
        <v>149</v>
      </c>
      <c r="B31" s="5" t="s">
        <v>156</v>
      </c>
      <c r="C31" s="5" t="s">
        <v>154</v>
      </c>
      <c r="D31" s="4">
        <f>IFERROR(INDEX('Daily Plan'!$A$2:$A$107,MATCH(C31,'Daily Plan'!$E$2:$E$107,0)),"")</f>
        <v>46358</v>
      </c>
      <c r="E31" s="5" t="s">
        <v>110</v>
      </c>
      <c r="F31" s="8" t="s">
        <v>111</v>
      </c>
      <c r="G31" s="8"/>
      <c r="H31" s="8"/>
    </row>
    <row r="32" spans="1:8" x14ac:dyDescent="0.3">
      <c r="A32" s="5" t="s">
        <v>149</v>
      </c>
      <c r="B32" s="5" t="s">
        <v>157</v>
      </c>
      <c r="C32" s="5" t="s">
        <v>158</v>
      </c>
      <c r="D32" s="4">
        <f>IFERROR(INDEX('Daily Plan'!$A$2:$A$107,MATCH(C32,'Daily Plan'!$E$2:$E$107,0)),"")</f>
        <v>46359</v>
      </c>
      <c r="E32" s="5" t="s">
        <v>110</v>
      </c>
      <c r="F32" s="8" t="s">
        <v>111</v>
      </c>
      <c r="G32" s="8"/>
      <c r="H32" s="8"/>
    </row>
    <row r="33" spans="1:8" x14ac:dyDescent="0.3">
      <c r="A33" s="5" t="s">
        <v>149</v>
      </c>
      <c r="B33" s="5" t="s">
        <v>159</v>
      </c>
      <c r="C33" s="5" t="s">
        <v>158</v>
      </c>
      <c r="D33" s="4">
        <f>IFERROR(INDEX('Daily Plan'!$A$2:$A$107,MATCH(C33,'Daily Plan'!$E$2:$E$107,0)),"")</f>
        <v>46359</v>
      </c>
      <c r="E33" s="5" t="s">
        <v>110</v>
      </c>
      <c r="F33" s="8" t="s">
        <v>111</v>
      </c>
      <c r="G33" s="8"/>
      <c r="H33" s="8"/>
    </row>
    <row r="34" spans="1:8" x14ac:dyDescent="0.3">
      <c r="A34" s="5" t="s">
        <v>160</v>
      </c>
      <c r="B34" s="5" t="s">
        <v>605</v>
      </c>
      <c r="C34" s="5" t="s">
        <v>162</v>
      </c>
      <c r="D34" s="4"/>
      <c r="E34" s="5" t="s">
        <v>110</v>
      </c>
      <c r="F34" s="8" t="s">
        <v>111</v>
      </c>
      <c r="G34" s="8"/>
      <c r="H34" s="8"/>
    </row>
    <row r="35" spans="1:8" x14ac:dyDescent="0.3">
      <c r="A35" s="5" t="s">
        <v>160</v>
      </c>
      <c r="B35" s="5" t="s">
        <v>161</v>
      </c>
      <c r="C35" s="5" t="s">
        <v>162</v>
      </c>
      <c r="D35" s="4">
        <f>IFERROR(INDEX('Daily Plan'!$A$2:$A$107,MATCH(C35,'Daily Plan'!$E$2:$E$107,0)),"")</f>
        <v>46360</v>
      </c>
      <c r="E35" s="5" t="s">
        <v>110</v>
      </c>
      <c r="F35" s="8" t="s">
        <v>111</v>
      </c>
      <c r="G35" s="8"/>
      <c r="H35" s="8"/>
    </row>
    <row r="36" spans="1:8" x14ac:dyDescent="0.3">
      <c r="A36" s="5" t="s">
        <v>160</v>
      </c>
      <c r="B36" s="5" t="s">
        <v>163</v>
      </c>
      <c r="C36" s="5" t="s">
        <v>164</v>
      </c>
      <c r="D36" s="4">
        <f>IFERROR(INDEX('Daily Plan'!$A$2:$A$107,MATCH(C36,'Daily Plan'!$E$2:$E$107,0)),"")</f>
        <v>46361</v>
      </c>
      <c r="E36" s="5" t="s">
        <v>110</v>
      </c>
      <c r="F36" s="8" t="s">
        <v>111</v>
      </c>
      <c r="G36" s="8"/>
      <c r="H36" s="8"/>
    </row>
    <row r="37" spans="1:8" x14ac:dyDescent="0.3">
      <c r="A37" s="5" t="s">
        <v>160</v>
      </c>
      <c r="B37" s="5" t="s">
        <v>165</v>
      </c>
      <c r="C37" s="5" t="s">
        <v>164</v>
      </c>
      <c r="D37" s="4">
        <f>IFERROR(INDEX('Daily Plan'!$A$2:$A$107,MATCH(C37,'Daily Plan'!$E$2:$E$107,0)),"")</f>
        <v>46361</v>
      </c>
      <c r="E37" s="5" t="s">
        <v>110</v>
      </c>
      <c r="F37" s="8" t="s">
        <v>111</v>
      </c>
      <c r="G37" s="8"/>
      <c r="H37" s="8"/>
    </row>
    <row r="38" spans="1:8" ht="26.4" x14ac:dyDescent="0.3">
      <c r="A38" s="5" t="s">
        <v>160</v>
      </c>
      <c r="B38" s="5" t="s">
        <v>166</v>
      </c>
      <c r="C38" s="5" t="s">
        <v>164</v>
      </c>
      <c r="D38" s="4">
        <f>IFERROR(INDEX('Daily Plan'!$A$2:$A$107,MATCH(C38,'Daily Plan'!$E$2:$E$107,0)),"")</f>
        <v>46361</v>
      </c>
      <c r="E38" s="5" t="s">
        <v>110</v>
      </c>
      <c r="F38" s="8" t="s">
        <v>111</v>
      </c>
      <c r="G38" s="8"/>
      <c r="H38" s="8"/>
    </row>
    <row r="39" spans="1:8" ht="26.4" x14ac:dyDescent="0.3">
      <c r="A39" s="5" t="s">
        <v>167</v>
      </c>
      <c r="B39" s="5" t="s">
        <v>168</v>
      </c>
      <c r="C39" s="5" t="s">
        <v>169</v>
      </c>
      <c r="D39" s="4">
        <f>IFERROR(INDEX('Daily Plan'!$A$2:$A$107,MATCH(C39,'Daily Plan'!$E$2:$E$107,0)),"")</f>
        <v>46363</v>
      </c>
      <c r="E39" s="5" t="s">
        <v>110</v>
      </c>
      <c r="F39" s="8" t="s">
        <v>111</v>
      </c>
      <c r="G39" s="8"/>
      <c r="H39" s="8"/>
    </row>
    <row r="40" spans="1:8" ht="26.4" x14ac:dyDescent="0.3">
      <c r="A40" s="5" t="s">
        <v>167</v>
      </c>
      <c r="B40" s="5" t="s">
        <v>170</v>
      </c>
      <c r="C40" s="5" t="s">
        <v>169</v>
      </c>
      <c r="D40" s="4">
        <f>IFERROR(INDEX('Daily Plan'!$A$2:$A$107,MATCH(C40,'Daily Plan'!$E$2:$E$107,0)),"")</f>
        <v>46363</v>
      </c>
      <c r="E40" s="5" t="s">
        <v>110</v>
      </c>
      <c r="F40" s="8" t="s">
        <v>111</v>
      </c>
      <c r="G40" s="8"/>
      <c r="H40" s="8"/>
    </row>
    <row r="41" spans="1:8" ht="26.4" x14ac:dyDescent="0.3">
      <c r="A41" s="5" t="s">
        <v>167</v>
      </c>
      <c r="B41" s="5" t="s">
        <v>171</v>
      </c>
      <c r="C41" s="5" t="s">
        <v>169</v>
      </c>
      <c r="D41" s="4">
        <f>IFERROR(INDEX('Daily Plan'!$A$2:$A$107,MATCH(C41,'Daily Plan'!$E$2:$E$107,0)),"")</f>
        <v>46363</v>
      </c>
      <c r="E41" s="5" t="s">
        <v>110</v>
      </c>
      <c r="F41" s="8" t="s">
        <v>111</v>
      </c>
      <c r="G41" s="8"/>
      <c r="H41" s="8"/>
    </row>
    <row r="42" spans="1:8" ht="26.4" x14ac:dyDescent="0.3">
      <c r="A42" s="5" t="s">
        <v>167</v>
      </c>
      <c r="B42" s="5" t="s">
        <v>172</v>
      </c>
      <c r="C42" s="5" t="s">
        <v>173</v>
      </c>
      <c r="D42" s="4">
        <f>IFERROR(INDEX('Daily Plan'!$A$2:$A$107,MATCH(C42,'Daily Plan'!$E$2:$E$107,0)),"")</f>
        <v>46364</v>
      </c>
      <c r="E42" s="5" t="s">
        <v>110</v>
      </c>
      <c r="F42" s="8" t="s">
        <v>111</v>
      </c>
      <c r="G42" s="8"/>
      <c r="H42" s="8"/>
    </row>
    <row r="43" spans="1:8" ht="26.4" x14ac:dyDescent="0.3">
      <c r="A43" s="5" t="s">
        <v>167</v>
      </c>
      <c r="B43" s="5" t="s">
        <v>606</v>
      </c>
      <c r="C43" s="5" t="s">
        <v>332</v>
      </c>
      <c r="D43" s="4"/>
      <c r="E43" s="5" t="s">
        <v>110</v>
      </c>
      <c r="F43" s="8" t="s">
        <v>111</v>
      </c>
      <c r="G43" s="8"/>
      <c r="H43" s="8"/>
    </row>
    <row r="44" spans="1:8" ht="26.4" x14ac:dyDescent="0.3">
      <c r="A44" s="5" t="s">
        <v>167</v>
      </c>
      <c r="B44" s="5" t="s">
        <v>607</v>
      </c>
      <c r="C44" s="5" t="s">
        <v>332</v>
      </c>
      <c r="D44" s="4"/>
      <c r="E44" s="5" t="s">
        <v>110</v>
      </c>
      <c r="F44" s="8" t="s">
        <v>111</v>
      </c>
      <c r="G44" s="8"/>
      <c r="H44" s="8"/>
    </row>
    <row r="45" spans="1:8" ht="26.4" x14ac:dyDescent="0.3">
      <c r="A45" s="5" t="s">
        <v>174</v>
      </c>
      <c r="B45" s="5" t="s">
        <v>175</v>
      </c>
      <c r="C45" s="5" t="s">
        <v>176</v>
      </c>
      <c r="D45" s="4">
        <f>IFERROR(INDEX('Daily Plan'!$A$2:$A$107,MATCH(C45,'Daily Plan'!$E$2:$E$107,0)),"")</f>
        <v>46375</v>
      </c>
      <c r="E45" s="5" t="s">
        <v>110</v>
      </c>
      <c r="F45" s="8" t="s">
        <v>111</v>
      </c>
      <c r="G45" s="8"/>
      <c r="H45" s="8"/>
    </row>
    <row r="46" spans="1:8" x14ac:dyDescent="0.3">
      <c r="A46" s="5" t="s">
        <v>174</v>
      </c>
      <c r="B46" s="5" t="s">
        <v>177</v>
      </c>
      <c r="C46" s="5" t="s">
        <v>176</v>
      </c>
      <c r="D46" s="4">
        <f>IFERROR(INDEX('Daily Plan'!$A$2:$A$107,MATCH(C46,'Daily Plan'!$E$2:$E$107,0)),"")</f>
        <v>46375</v>
      </c>
      <c r="E46" s="5" t="s">
        <v>110</v>
      </c>
      <c r="F46" s="8" t="s">
        <v>111</v>
      </c>
      <c r="G46" s="8"/>
      <c r="H46" s="8"/>
    </row>
    <row r="47" spans="1:8" x14ac:dyDescent="0.3">
      <c r="A47" s="5" t="s">
        <v>174</v>
      </c>
      <c r="B47" s="5" t="s">
        <v>178</v>
      </c>
      <c r="C47" s="5" t="s">
        <v>179</v>
      </c>
      <c r="D47" s="4">
        <f>IFERROR(INDEX('Daily Plan'!$A$2:$A$107,MATCH(C47,'Daily Plan'!$E$2:$E$107,0)),"")</f>
        <v>46377</v>
      </c>
      <c r="E47" s="5" t="s">
        <v>110</v>
      </c>
      <c r="F47" s="8" t="s">
        <v>111</v>
      </c>
      <c r="G47" s="8"/>
      <c r="H47" s="8"/>
    </row>
    <row r="48" spans="1:8" ht="26.4" x14ac:dyDescent="0.3">
      <c r="A48" s="5" t="s">
        <v>174</v>
      </c>
      <c r="B48" s="5" t="s">
        <v>180</v>
      </c>
      <c r="C48" s="5" t="s">
        <v>179</v>
      </c>
      <c r="D48" s="4">
        <f>IFERROR(INDEX('Daily Plan'!$A$2:$A$107,MATCH(C48,'Daily Plan'!$E$2:$E$107,0)),"")</f>
        <v>46377</v>
      </c>
      <c r="E48" s="5" t="s">
        <v>110</v>
      </c>
      <c r="F48" s="8" t="s">
        <v>111</v>
      </c>
      <c r="G48" s="8"/>
      <c r="H48" s="8"/>
    </row>
    <row r="49" spans="1:8" ht="26.4" x14ac:dyDescent="0.3">
      <c r="A49" s="5" t="s">
        <v>174</v>
      </c>
      <c r="B49" s="5" t="s">
        <v>181</v>
      </c>
      <c r="C49" s="5" t="s">
        <v>179</v>
      </c>
      <c r="D49" s="4">
        <f>IFERROR(INDEX('Daily Plan'!$A$2:$A$107,MATCH(C49,'Daily Plan'!$E$2:$E$107,0)),"")</f>
        <v>46377</v>
      </c>
      <c r="E49" s="5" t="s">
        <v>110</v>
      </c>
      <c r="F49" s="8" t="s">
        <v>111</v>
      </c>
      <c r="G49" s="8"/>
      <c r="H49" s="8"/>
    </row>
    <row r="50" spans="1:8" x14ac:dyDescent="0.3">
      <c r="A50" s="5" t="s">
        <v>174</v>
      </c>
      <c r="B50" s="5" t="s">
        <v>182</v>
      </c>
      <c r="C50" s="5" t="s">
        <v>179</v>
      </c>
      <c r="D50" s="4">
        <f>IFERROR(INDEX('Daily Plan'!$A$2:$A$107,MATCH(C50,'Daily Plan'!$E$2:$E$107,0)),"")</f>
        <v>46377</v>
      </c>
      <c r="E50" s="5" t="s">
        <v>110</v>
      </c>
      <c r="F50" s="8" t="s">
        <v>111</v>
      </c>
      <c r="G50" s="8"/>
      <c r="H50" s="8"/>
    </row>
    <row r="51" spans="1:8" x14ac:dyDescent="0.3">
      <c r="A51" s="5" t="s">
        <v>174</v>
      </c>
      <c r="B51" s="5" t="s">
        <v>183</v>
      </c>
      <c r="C51" s="5" t="s">
        <v>184</v>
      </c>
      <c r="D51" s="4">
        <f>IFERROR(INDEX('Daily Plan'!$A$2:$A$107,MATCH(C51,'Daily Plan'!$E$2:$E$107,0)),"")</f>
        <v>46403</v>
      </c>
      <c r="E51" s="5" t="s">
        <v>110</v>
      </c>
      <c r="F51" s="8" t="s">
        <v>111</v>
      </c>
      <c r="G51" s="8"/>
      <c r="H51" s="8"/>
    </row>
    <row r="53" spans="1:8" x14ac:dyDescent="0.3">
      <c r="A53" s="2" t="s">
        <v>185</v>
      </c>
      <c r="F53" s="2">
        <f>COUNTIF(F2:F51,"Needs repair")</f>
        <v>0</v>
      </c>
    </row>
    <row r="54" spans="1:8" x14ac:dyDescent="0.3">
      <c r="A54" s="2" t="s">
        <v>186</v>
      </c>
      <c r="F54" s="2">
        <f>COUNTIF(F2:F51,"Verified")</f>
        <v>0</v>
      </c>
    </row>
    <row r="56" spans="1:8" x14ac:dyDescent="0.3">
      <c r="A56" s="23" t="s">
        <v>187</v>
      </c>
    </row>
  </sheetData>
  <conditionalFormatting sqref="F2:F51">
    <cfRule type="cellIs" dxfId="1" priority="2" operator="equal">
      <formula>"Verified"</formula>
    </cfRule>
    <cfRule type="cellIs" dxfId="0" priority="3" operator="equal">
      <formula>"Needs repair"</formula>
    </cfRule>
  </conditionalFormatting>
  <dataValidations count="1">
    <dataValidation type="list" sqref="F2:F51" xr:uid="{00000000-0002-0000-0600-000000000000}">
      <formula1>"Not yet checked,Studied,Practised,Needs repair,Verified"</formula1>
      <formula2>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1"/>
  <sheetViews>
    <sheetView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26" customWidth="1"/>
    <col min="3" max="3" width="8" customWidth="1"/>
    <col min="4" max="4" width="34" customWidth="1"/>
    <col min="5" max="5" width="13" customWidth="1"/>
    <col min="6" max="6" width="10" customWidth="1"/>
    <col min="7" max="8" width="13" customWidth="1"/>
    <col min="9" max="9" width="22" customWidth="1"/>
    <col min="10" max="10" width="14" customWidth="1"/>
    <col min="11" max="11" width="34" customWidth="1"/>
  </cols>
  <sheetData>
    <row r="1" spans="1:11" ht="42" customHeight="1" x14ac:dyDescent="0.3">
      <c r="A1" s="3" t="s">
        <v>0</v>
      </c>
      <c r="B1" s="3" t="s">
        <v>52</v>
      </c>
      <c r="C1" s="3" t="s">
        <v>188</v>
      </c>
      <c r="D1" s="3" t="s">
        <v>189</v>
      </c>
      <c r="E1" s="3" t="s">
        <v>190</v>
      </c>
      <c r="F1" s="3" t="s">
        <v>191</v>
      </c>
      <c r="G1" s="3" t="s">
        <v>192</v>
      </c>
      <c r="H1" s="3" t="s">
        <v>193</v>
      </c>
      <c r="I1" s="3" t="s">
        <v>194</v>
      </c>
      <c r="J1" s="3" t="s">
        <v>195</v>
      </c>
      <c r="K1" s="3" t="s">
        <v>54</v>
      </c>
    </row>
    <row r="2" spans="1:11" ht="15" customHeight="1" x14ac:dyDescent="0.3">
      <c r="A2" s="25">
        <v>46321</v>
      </c>
      <c r="B2" s="24" t="s">
        <v>196</v>
      </c>
      <c r="C2" s="24">
        <v>2024</v>
      </c>
      <c r="D2" s="24" t="s">
        <v>197</v>
      </c>
      <c r="E2" s="24">
        <v>20</v>
      </c>
      <c r="F2" s="24">
        <v>14</v>
      </c>
      <c r="G2" s="18">
        <f t="shared" ref="G2:G41" si="0">IF(E2&gt;0,F2/E2,"")</f>
        <v>0.7</v>
      </c>
      <c r="H2" s="24">
        <v>95</v>
      </c>
      <c r="I2" s="24" t="s">
        <v>198</v>
      </c>
      <c r="J2" s="25">
        <v>46328</v>
      </c>
      <c r="K2" s="24" t="s">
        <v>199</v>
      </c>
    </row>
    <row r="3" spans="1:11" ht="15" customHeight="1" x14ac:dyDescent="0.3">
      <c r="A3" s="25"/>
      <c r="B3" s="24"/>
      <c r="C3" s="24"/>
      <c r="D3" s="24"/>
      <c r="E3" s="24"/>
      <c r="F3" s="24"/>
      <c r="G3" s="18" t="str">
        <f t="shared" si="0"/>
        <v/>
      </c>
      <c r="H3" s="24"/>
      <c r="I3" s="24"/>
      <c r="J3" s="25"/>
      <c r="K3" s="24"/>
    </row>
    <row r="4" spans="1:11" ht="15" customHeight="1" x14ac:dyDescent="0.3">
      <c r="A4" s="25"/>
      <c r="B4" s="24"/>
      <c r="C4" s="24"/>
      <c r="D4" s="24"/>
      <c r="E4" s="24"/>
      <c r="F4" s="24"/>
      <c r="G4" s="18" t="str">
        <f t="shared" si="0"/>
        <v/>
      </c>
      <c r="H4" s="24"/>
      <c r="I4" s="24"/>
      <c r="J4" s="25"/>
      <c r="K4" s="24"/>
    </row>
    <row r="5" spans="1:11" ht="15" customHeight="1" x14ac:dyDescent="0.3">
      <c r="A5" s="25"/>
      <c r="B5" s="24"/>
      <c r="C5" s="24"/>
      <c r="D5" s="24"/>
      <c r="E5" s="24"/>
      <c r="F5" s="24"/>
      <c r="G5" s="18" t="str">
        <f t="shared" si="0"/>
        <v/>
      </c>
      <c r="H5" s="24"/>
      <c r="I5" s="24"/>
      <c r="J5" s="25"/>
      <c r="K5" s="24"/>
    </row>
    <row r="6" spans="1:11" ht="15" customHeight="1" x14ac:dyDescent="0.3">
      <c r="A6" s="25"/>
      <c r="B6" s="24"/>
      <c r="C6" s="24"/>
      <c r="D6" s="24"/>
      <c r="E6" s="24"/>
      <c r="F6" s="24"/>
      <c r="G6" s="18" t="str">
        <f t="shared" si="0"/>
        <v/>
      </c>
      <c r="H6" s="24"/>
      <c r="I6" s="24"/>
      <c r="J6" s="25"/>
      <c r="K6" s="24"/>
    </row>
    <row r="7" spans="1:11" ht="15" customHeight="1" x14ac:dyDescent="0.3">
      <c r="A7" s="25"/>
      <c r="B7" s="24"/>
      <c r="C7" s="24"/>
      <c r="D7" s="24"/>
      <c r="E7" s="24"/>
      <c r="F7" s="24"/>
      <c r="G7" s="18" t="str">
        <f t="shared" si="0"/>
        <v/>
      </c>
      <c r="H7" s="24"/>
      <c r="I7" s="24"/>
      <c r="J7" s="25"/>
      <c r="K7" s="24"/>
    </row>
    <row r="8" spans="1:11" ht="15" customHeight="1" x14ac:dyDescent="0.3">
      <c r="A8" s="25"/>
      <c r="B8" s="24"/>
      <c r="C8" s="24"/>
      <c r="D8" s="24"/>
      <c r="E8" s="24"/>
      <c r="F8" s="24"/>
      <c r="G8" s="18" t="str">
        <f t="shared" si="0"/>
        <v/>
      </c>
      <c r="H8" s="24"/>
      <c r="I8" s="24"/>
      <c r="J8" s="25"/>
      <c r="K8" s="24"/>
    </row>
    <row r="9" spans="1:11" ht="15" customHeight="1" x14ac:dyDescent="0.3">
      <c r="A9" s="25"/>
      <c r="B9" s="24"/>
      <c r="C9" s="24"/>
      <c r="D9" s="24"/>
      <c r="E9" s="24"/>
      <c r="F9" s="24"/>
      <c r="G9" s="18" t="str">
        <f t="shared" si="0"/>
        <v/>
      </c>
      <c r="H9" s="24"/>
      <c r="I9" s="24"/>
      <c r="J9" s="25"/>
      <c r="K9" s="24"/>
    </row>
    <row r="10" spans="1:11" ht="15" customHeight="1" x14ac:dyDescent="0.3">
      <c r="A10" s="25"/>
      <c r="B10" s="24"/>
      <c r="C10" s="24"/>
      <c r="D10" s="24"/>
      <c r="E10" s="24"/>
      <c r="F10" s="24"/>
      <c r="G10" s="18" t="str">
        <f t="shared" si="0"/>
        <v/>
      </c>
      <c r="H10" s="24"/>
      <c r="I10" s="24"/>
      <c r="J10" s="25"/>
      <c r="K10" s="24"/>
    </row>
    <row r="11" spans="1:11" ht="15" customHeight="1" x14ac:dyDescent="0.3">
      <c r="A11" s="25"/>
      <c r="B11" s="24"/>
      <c r="C11" s="24"/>
      <c r="D11" s="24"/>
      <c r="E11" s="24"/>
      <c r="F11" s="24"/>
      <c r="G11" s="18" t="str">
        <f t="shared" si="0"/>
        <v/>
      </c>
      <c r="H11" s="24"/>
      <c r="I11" s="24"/>
      <c r="J11" s="25"/>
      <c r="K11" s="24"/>
    </row>
    <row r="12" spans="1:11" ht="15" customHeight="1" x14ac:dyDescent="0.3">
      <c r="A12" s="25"/>
      <c r="B12" s="24"/>
      <c r="C12" s="24"/>
      <c r="D12" s="24"/>
      <c r="E12" s="24"/>
      <c r="F12" s="24"/>
      <c r="G12" s="18" t="str">
        <f t="shared" si="0"/>
        <v/>
      </c>
      <c r="H12" s="24"/>
      <c r="I12" s="24"/>
      <c r="J12" s="25"/>
      <c r="K12" s="24"/>
    </row>
    <row r="13" spans="1:11" ht="15" customHeight="1" x14ac:dyDescent="0.3">
      <c r="A13" s="25"/>
      <c r="B13" s="24"/>
      <c r="C13" s="24"/>
      <c r="D13" s="24"/>
      <c r="E13" s="24"/>
      <c r="F13" s="24"/>
      <c r="G13" s="18" t="str">
        <f t="shared" si="0"/>
        <v/>
      </c>
      <c r="H13" s="24"/>
      <c r="I13" s="24"/>
      <c r="J13" s="25"/>
      <c r="K13" s="24"/>
    </row>
    <row r="14" spans="1:11" ht="15" customHeight="1" x14ac:dyDescent="0.3">
      <c r="A14" s="25"/>
      <c r="B14" s="24"/>
      <c r="C14" s="24"/>
      <c r="D14" s="24"/>
      <c r="E14" s="24"/>
      <c r="F14" s="24"/>
      <c r="G14" s="18" t="str">
        <f t="shared" si="0"/>
        <v/>
      </c>
      <c r="H14" s="24"/>
      <c r="I14" s="24"/>
      <c r="J14" s="25"/>
      <c r="K14" s="24"/>
    </row>
    <row r="15" spans="1:11" ht="15" customHeight="1" x14ac:dyDescent="0.3">
      <c r="A15" s="25"/>
      <c r="B15" s="24"/>
      <c r="C15" s="24"/>
      <c r="D15" s="24"/>
      <c r="E15" s="24"/>
      <c r="F15" s="24"/>
      <c r="G15" s="18" t="str">
        <f t="shared" si="0"/>
        <v/>
      </c>
      <c r="H15" s="24"/>
      <c r="I15" s="24"/>
      <c r="J15" s="25"/>
      <c r="K15" s="24"/>
    </row>
    <row r="16" spans="1:11" ht="15" customHeight="1" x14ac:dyDescent="0.3">
      <c r="A16" s="25"/>
      <c r="B16" s="24"/>
      <c r="C16" s="24"/>
      <c r="D16" s="24"/>
      <c r="E16" s="24"/>
      <c r="F16" s="24"/>
      <c r="G16" s="18" t="str">
        <f t="shared" si="0"/>
        <v/>
      </c>
      <c r="H16" s="24"/>
      <c r="I16" s="24"/>
      <c r="J16" s="25"/>
      <c r="K16" s="24"/>
    </row>
    <row r="17" spans="1:11" ht="15" customHeight="1" x14ac:dyDescent="0.3">
      <c r="A17" s="25"/>
      <c r="B17" s="24"/>
      <c r="C17" s="24"/>
      <c r="D17" s="24"/>
      <c r="E17" s="24"/>
      <c r="F17" s="24"/>
      <c r="G17" s="18" t="str">
        <f t="shared" si="0"/>
        <v/>
      </c>
      <c r="H17" s="24"/>
      <c r="I17" s="24"/>
      <c r="J17" s="25"/>
      <c r="K17" s="24"/>
    </row>
    <row r="18" spans="1:11" ht="15" customHeight="1" x14ac:dyDescent="0.3">
      <c r="A18" s="25"/>
      <c r="B18" s="24"/>
      <c r="C18" s="24"/>
      <c r="D18" s="24"/>
      <c r="E18" s="24"/>
      <c r="F18" s="24"/>
      <c r="G18" s="18" t="str">
        <f t="shared" si="0"/>
        <v/>
      </c>
      <c r="H18" s="24"/>
      <c r="I18" s="24"/>
      <c r="J18" s="25"/>
      <c r="K18" s="24"/>
    </row>
    <row r="19" spans="1:11" ht="15" customHeight="1" x14ac:dyDescent="0.3">
      <c r="A19" s="25"/>
      <c r="B19" s="24"/>
      <c r="C19" s="24"/>
      <c r="D19" s="24"/>
      <c r="E19" s="24"/>
      <c r="F19" s="24"/>
      <c r="G19" s="18" t="str">
        <f t="shared" si="0"/>
        <v/>
      </c>
      <c r="H19" s="24"/>
      <c r="I19" s="24"/>
      <c r="J19" s="25"/>
      <c r="K19" s="24"/>
    </row>
    <row r="20" spans="1:11" ht="15" customHeight="1" x14ac:dyDescent="0.3">
      <c r="A20" s="25"/>
      <c r="B20" s="24"/>
      <c r="C20" s="24"/>
      <c r="D20" s="24"/>
      <c r="E20" s="24"/>
      <c r="F20" s="24"/>
      <c r="G20" s="18" t="str">
        <f t="shared" si="0"/>
        <v/>
      </c>
      <c r="H20" s="24"/>
      <c r="I20" s="24"/>
      <c r="J20" s="25"/>
      <c r="K20" s="24"/>
    </row>
    <row r="21" spans="1:11" ht="15" customHeight="1" x14ac:dyDescent="0.3">
      <c r="A21" s="25"/>
      <c r="B21" s="24"/>
      <c r="C21" s="24"/>
      <c r="D21" s="24"/>
      <c r="E21" s="24"/>
      <c r="F21" s="24"/>
      <c r="G21" s="18" t="str">
        <f t="shared" si="0"/>
        <v/>
      </c>
      <c r="H21" s="24"/>
      <c r="I21" s="24"/>
      <c r="J21" s="25"/>
      <c r="K21" s="24"/>
    </row>
    <row r="22" spans="1:11" ht="15" customHeight="1" x14ac:dyDescent="0.3">
      <c r="A22" s="25"/>
      <c r="B22" s="24"/>
      <c r="C22" s="24"/>
      <c r="D22" s="24"/>
      <c r="E22" s="24"/>
      <c r="F22" s="24"/>
      <c r="G22" s="18" t="str">
        <f t="shared" si="0"/>
        <v/>
      </c>
      <c r="H22" s="24"/>
      <c r="I22" s="24"/>
      <c r="J22" s="25"/>
      <c r="K22" s="24"/>
    </row>
    <row r="23" spans="1:11" ht="15" customHeight="1" x14ac:dyDescent="0.3">
      <c r="A23" s="25"/>
      <c r="B23" s="24"/>
      <c r="C23" s="24"/>
      <c r="D23" s="24"/>
      <c r="E23" s="24"/>
      <c r="F23" s="24"/>
      <c r="G23" s="18" t="str">
        <f t="shared" si="0"/>
        <v/>
      </c>
      <c r="H23" s="24"/>
      <c r="I23" s="24"/>
      <c r="J23" s="25"/>
      <c r="K23" s="24"/>
    </row>
    <row r="24" spans="1:11" ht="15" customHeight="1" x14ac:dyDescent="0.3">
      <c r="A24" s="25"/>
      <c r="B24" s="24"/>
      <c r="C24" s="24"/>
      <c r="D24" s="24"/>
      <c r="E24" s="24"/>
      <c r="F24" s="24"/>
      <c r="G24" s="18" t="str">
        <f t="shared" si="0"/>
        <v/>
      </c>
      <c r="H24" s="24"/>
      <c r="I24" s="24"/>
      <c r="J24" s="25"/>
      <c r="K24" s="24"/>
    </row>
    <row r="25" spans="1:11" ht="15" customHeight="1" x14ac:dyDescent="0.3">
      <c r="A25" s="25"/>
      <c r="B25" s="24"/>
      <c r="C25" s="24"/>
      <c r="D25" s="24"/>
      <c r="E25" s="24"/>
      <c r="F25" s="24"/>
      <c r="G25" s="18" t="str">
        <f t="shared" si="0"/>
        <v/>
      </c>
      <c r="H25" s="24"/>
      <c r="I25" s="24"/>
      <c r="J25" s="25"/>
      <c r="K25" s="24"/>
    </row>
    <row r="26" spans="1:11" ht="15" customHeight="1" x14ac:dyDescent="0.3">
      <c r="A26" s="25"/>
      <c r="B26" s="24"/>
      <c r="C26" s="24"/>
      <c r="D26" s="24"/>
      <c r="E26" s="24"/>
      <c r="F26" s="24"/>
      <c r="G26" s="18" t="str">
        <f t="shared" si="0"/>
        <v/>
      </c>
      <c r="H26" s="24"/>
      <c r="I26" s="24"/>
      <c r="J26" s="25"/>
      <c r="K26" s="24"/>
    </row>
    <row r="27" spans="1:11" ht="15" customHeight="1" x14ac:dyDescent="0.3">
      <c r="A27" s="25"/>
      <c r="B27" s="24"/>
      <c r="C27" s="24"/>
      <c r="D27" s="24"/>
      <c r="E27" s="24"/>
      <c r="F27" s="24"/>
      <c r="G27" s="18" t="str">
        <f t="shared" si="0"/>
        <v/>
      </c>
      <c r="H27" s="24"/>
      <c r="I27" s="24"/>
      <c r="J27" s="25"/>
      <c r="K27" s="24"/>
    </row>
    <row r="28" spans="1:11" ht="15" customHeight="1" x14ac:dyDescent="0.3">
      <c r="A28" s="25"/>
      <c r="B28" s="24"/>
      <c r="C28" s="24"/>
      <c r="D28" s="24"/>
      <c r="E28" s="24"/>
      <c r="F28" s="24"/>
      <c r="G28" s="18" t="str">
        <f t="shared" si="0"/>
        <v/>
      </c>
      <c r="H28" s="24"/>
      <c r="I28" s="24"/>
      <c r="J28" s="25"/>
      <c r="K28" s="24"/>
    </row>
    <row r="29" spans="1:11" ht="15" customHeight="1" x14ac:dyDescent="0.3">
      <c r="A29" s="25"/>
      <c r="B29" s="24"/>
      <c r="C29" s="24"/>
      <c r="D29" s="24"/>
      <c r="E29" s="24"/>
      <c r="F29" s="24"/>
      <c r="G29" s="18" t="str">
        <f t="shared" si="0"/>
        <v/>
      </c>
      <c r="H29" s="24"/>
      <c r="I29" s="24"/>
      <c r="J29" s="25"/>
      <c r="K29" s="24"/>
    </row>
    <row r="30" spans="1:11" ht="15" customHeight="1" x14ac:dyDescent="0.3">
      <c r="A30" s="25"/>
      <c r="B30" s="24"/>
      <c r="C30" s="24"/>
      <c r="D30" s="24"/>
      <c r="E30" s="24"/>
      <c r="F30" s="24"/>
      <c r="G30" s="18" t="str">
        <f t="shared" si="0"/>
        <v/>
      </c>
      <c r="H30" s="24"/>
      <c r="I30" s="24"/>
      <c r="J30" s="25"/>
      <c r="K30" s="24"/>
    </row>
    <row r="31" spans="1:11" ht="15" customHeight="1" x14ac:dyDescent="0.3">
      <c r="A31" s="25"/>
      <c r="B31" s="24"/>
      <c r="C31" s="24"/>
      <c r="D31" s="24"/>
      <c r="E31" s="24"/>
      <c r="F31" s="24"/>
      <c r="G31" s="18" t="str">
        <f t="shared" si="0"/>
        <v/>
      </c>
      <c r="H31" s="24"/>
      <c r="I31" s="24"/>
      <c r="J31" s="25"/>
      <c r="K31" s="24"/>
    </row>
    <row r="32" spans="1:11" ht="15" customHeight="1" x14ac:dyDescent="0.3">
      <c r="A32" s="25"/>
      <c r="B32" s="24"/>
      <c r="C32" s="24"/>
      <c r="D32" s="24"/>
      <c r="E32" s="24"/>
      <c r="F32" s="24"/>
      <c r="G32" s="18" t="str">
        <f t="shared" si="0"/>
        <v/>
      </c>
      <c r="H32" s="24"/>
      <c r="I32" s="24"/>
      <c r="J32" s="25"/>
      <c r="K32" s="24"/>
    </row>
    <row r="33" spans="1:11" ht="15" customHeight="1" x14ac:dyDescent="0.3">
      <c r="A33" s="25"/>
      <c r="B33" s="24"/>
      <c r="C33" s="24"/>
      <c r="D33" s="24"/>
      <c r="E33" s="24"/>
      <c r="F33" s="24"/>
      <c r="G33" s="18" t="str">
        <f t="shared" si="0"/>
        <v/>
      </c>
      <c r="H33" s="24"/>
      <c r="I33" s="24"/>
      <c r="J33" s="25"/>
      <c r="K33" s="24"/>
    </row>
    <row r="34" spans="1:11" ht="15" customHeight="1" x14ac:dyDescent="0.3">
      <c r="A34" s="25"/>
      <c r="B34" s="24"/>
      <c r="C34" s="24"/>
      <c r="D34" s="24"/>
      <c r="E34" s="24"/>
      <c r="F34" s="24"/>
      <c r="G34" s="18" t="str">
        <f t="shared" si="0"/>
        <v/>
      </c>
      <c r="H34" s="24"/>
      <c r="I34" s="24"/>
      <c r="J34" s="25"/>
      <c r="K34" s="24"/>
    </row>
    <row r="35" spans="1:11" ht="15" customHeight="1" x14ac:dyDescent="0.3">
      <c r="A35" s="25"/>
      <c r="B35" s="24"/>
      <c r="C35" s="24"/>
      <c r="D35" s="24"/>
      <c r="E35" s="24"/>
      <c r="F35" s="24"/>
      <c r="G35" s="18" t="str">
        <f t="shared" si="0"/>
        <v/>
      </c>
      <c r="H35" s="24"/>
      <c r="I35" s="24"/>
      <c r="J35" s="25"/>
      <c r="K35" s="24"/>
    </row>
    <row r="36" spans="1:11" ht="15" customHeight="1" x14ac:dyDescent="0.3">
      <c r="A36" s="25"/>
      <c r="B36" s="24"/>
      <c r="C36" s="24"/>
      <c r="D36" s="24"/>
      <c r="E36" s="24"/>
      <c r="F36" s="24"/>
      <c r="G36" s="18" t="str">
        <f t="shared" si="0"/>
        <v/>
      </c>
      <c r="H36" s="24"/>
      <c r="I36" s="24"/>
      <c r="J36" s="25"/>
      <c r="K36" s="24"/>
    </row>
    <row r="37" spans="1:11" ht="15" customHeight="1" x14ac:dyDescent="0.3">
      <c r="A37" s="25"/>
      <c r="B37" s="24"/>
      <c r="C37" s="24"/>
      <c r="D37" s="24"/>
      <c r="E37" s="24"/>
      <c r="F37" s="24"/>
      <c r="G37" s="18" t="str">
        <f t="shared" si="0"/>
        <v/>
      </c>
      <c r="H37" s="24"/>
      <c r="I37" s="24"/>
      <c r="J37" s="25"/>
      <c r="K37" s="24"/>
    </row>
    <row r="38" spans="1:11" ht="15" customHeight="1" x14ac:dyDescent="0.3">
      <c r="A38" s="25"/>
      <c r="B38" s="24"/>
      <c r="C38" s="24"/>
      <c r="D38" s="24"/>
      <c r="E38" s="24"/>
      <c r="F38" s="24"/>
      <c r="G38" s="18" t="str">
        <f t="shared" si="0"/>
        <v/>
      </c>
      <c r="H38" s="24"/>
      <c r="I38" s="24"/>
      <c r="J38" s="25"/>
      <c r="K38" s="24"/>
    </row>
    <row r="39" spans="1:11" ht="15" customHeight="1" x14ac:dyDescent="0.3">
      <c r="A39" s="25"/>
      <c r="B39" s="24"/>
      <c r="C39" s="24"/>
      <c r="D39" s="24"/>
      <c r="E39" s="24"/>
      <c r="F39" s="24"/>
      <c r="G39" s="18" t="str">
        <f t="shared" si="0"/>
        <v/>
      </c>
      <c r="H39" s="24"/>
      <c r="I39" s="24"/>
      <c r="J39" s="25"/>
      <c r="K39" s="24"/>
    </row>
    <row r="40" spans="1:11" ht="15" customHeight="1" x14ac:dyDescent="0.3">
      <c r="A40" s="25"/>
      <c r="B40" s="24"/>
      <c r="C40" s="24"/>
      <c r="D40" s="24"/>
      <c r="E40" s="24"/>
      <c r="F40" s="24"/>
      <c r="G40" s="18" t="str">
        <f t="shared" si="0"/>
        <v/>
      </c>
      <c r="H40" s="24"/>
      <c r="I40" s="24"/>
      <c r="J40" s="25"/>
      <c r="K40" s="24"/>
    </row>
    <row r="41" spans="1:11" ht="15" customHeight="1" x14ac:dyDescent="0.3">
      <c r="A41" s="25"/>
      <c r="B41" s="24"/>
      <c r="C41" s="24"/>
      <c r="D41" s="24"/>
      <c r="E41" s="24"/>
      <c r="F41" s="24"/>
      <c r="G41" s="18" t="str">
        <f t="shared" si="0"/>
        <v/>
      </c>
      <c r="H41" s="24"/>
      <c r="I41" s="24"/>
      <c r="J41" s="25"/>
      <c r="K41" s="24"/>
    </row>
  </sheetData>
  <dataValidations count="2">
    <dataValidation type="list" sqref="I2:I41" xr:uid="{00000000-0002-0000-0700-000000000000}">
      <formula1>"Concept,Calculation,Misread,Time pressure,Guess"</formula1>
      <formula2>0</formula2>
    </dataValidation>
    <dataValidation type="list" sqref="B3:B41" xr:uid="{00000000-0002-0000-0700-000001000000}">
      <formula1>"Computer Science,Data Science and Artificial Intelligence"</formula1>
      <formula2>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3"/>
  <sheetViews>
    <sheetView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15" customWidth="1"/>
  </cols>
  <sheetData>
    <row r="1" spans="1:2" ht="28.05" customHeight="1" x14ac:dyDescent="0.3">
      <c r="A1" s="44" t="s">
        <v>608</v>
      </c>
      <c r="B1" s="44" t="s">
        <v>609</v>
      </c>
    </row>
    <row r="2" spans="1:2" ht="48" customHeight="1" x14ac:dyDescent="0.3">
      <c r="A2" s="15" t="s">
        <v>610</v>
      </c>
      <c r="B2" s="27" t="s">
        <v>611</v>
      </c>
    </row>
    <row r="3" spans="1:2" ht="48" customHeight="1" x14ac:dyDescent="0.3">
      <c r="A3" s="15" t="s">
        <v>612</v>
      </c>
      <c r="B3" s="27" t="s">
        <v>613</v>
      </c>
    </row>
    <row r="4" spans="1:2" ht="48" customHeight="1" x14ac:dyDescent="0.3">
      <c r="A4" s="15" t="s">
        <v>614</v>
      </c>
      <c r="B4" s="27" t="s">
        <v>615</v>
      </c>
    </row>
    <row r="5" spans="1:2" ht="48" customHeight="1" x14ac:dyDescent="0.3">
      <c r="A5" s="15" t="s">
        <v>616</v>
      </c>
      <c r="B5" s="27" t="s">
        <v>617</v>
      </c>
    </row>
    <row r="6" spans="1:2" ht="48" customHeight="1" x14ac:dyDescent="0.3">
      <c r="A6" s="15" t="s">
        <v>618</v>
      </c>
      <c r="B6" s="27" t="s">
        <v>619</v>
      </c>
    </row>
    <row r="7" spans="1:2" ht="48" customHeight="1" x14ac:dyDescent="0.3">
      <c r="A7" s="15" t="s">
        <v>620</v>
      </c>
      <c r="B7" s="27" t="s">
        <v>621</v>
      </c>
    </row>
    <row r="8" spans="1:2" ht="48" customHeight="1" x14ac:dyDescent="0.3">
      <c r="A8" s="15" t="s">
        <v>622</v>
      </c>
      <c r="B8" s="27" t="s">
        <v>623</v>
      </c>
    </row>
    <row r="9" spans="1:2" ht="48" customHeight="1" x14ac:dyDescent="0.3">
      <c r="A9" s="1" t="s">
        <v>624</v>
      </c>
      <c r="B9" s="1" t="s">
        <v>625</v>
      </c>
    </row>
    <row r="10" spans="1:2" ht="48" customHeight="1" x14ac:dyDescent="0.3">
      <c r="A10" s="1" t="s">
        <v>626</v>
      </c>
      <c r="B10" s="1" t="s">
        <v>627</v>
      </c>
    </row>
    <row r="11" spans="1:2" ht="48" customHeight="1" x14ac:dyDescent="0.3">
      <c r="A11" s="1" t="s">
        <v>628</v>
      </c>
      <c r="B11" s="1" t="s">
        <v>629</v>
      </c>
    </row>
    <row r="12" spans="1:2" ht="48" customHeight="1" x14ac:dyDescent="0.3">
      <c r="A12" s="1" t="s">
        <v>630</v>
      </c>
      <c r="B12" s="1" t="s">
        <v>631</v>
      </c>
    </row>
    <row r="13" spans="1:2" ht="48" customHeight="1" x14ac:dyDescent="0.3">
      <c r="A13" s="1" t="s">
        <v>881</v>
      </c>
      <c r="B13" s="1" t="s">
        <v>882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36" customWidth="1"/>
    <col min="3" max="3" width="72" customWidth="1"/>
    <col min="4" max="4" width="24" customWidth="1"/>
    <col min="5" max="5" width="52" customWidth="1"/>
    <col min="6" max="6" width="30" customWidth="1"/>
    <col min="7" max="7" width="32" customWidth="1"/>
    <col min="8" max="9" width="68" customWidth="1"/>
  </cols>
  <sheetData>
    <row r="1" spans="1:9" ht="34.049999999999997" customHeight="1" x14ac:dyDescent="0.3">
      <c r="A1" s="31" t="s">
        <v>52</v>
      </c>
      <c r="B1" s="31" t="s">
        <v>632</v>
      </c>
      <c r="C1" s="31" t="s">
        <v>633</v>
      </c>
      <c r="D1" s="31" t="s">
        <v>634</v>
      </c>
      <c r="E1" s="31" t="s">
        <v>635</v>
      </c>
      <c r="F1" s="31" t="s">
        <v>515</v>
      </c>
      <c r="G1" s="31" t="s">
        <v>636</v>
      </c>
      <c r="H1" s="31" t="s">
        <v>637</v>
      </c>
      <c r="I1" s="31" t="s">
        <v>638</v>
      </c>
    </row>
    <row r="2" spans="1:9" ht="52.05" customHeight="1" x14ac:dyDescent="0.3">
      <c r="A2" s="32" t="s">
        <v>196</v>
      </c>
      <c r="B2" s="1" t="s">
        <v>639</v>
      </c>
      <c r="C2" s="1" t="s">
        <v>640</v>
      </c>
      <c r="D2" s="1" t="s">
        <v>641</v>
      </c>
      <c r="E2" s="1" t="s">
        <v>642</v>
      </c>
      <c r="F2" s="1" t="s">
        <v>643</v>
      </c>
      <c r="G2" s="1" t="s">
        <v>644</v>
      </c>
      <c r="H2" s="1" t="s">
        <v>521</v>
      </c>
      <c r="I2" s="1" t="s">
        <v>645</v>
      </c>
    </row>
    <row r="3" spans="1:9" ht="52.05" customHeight="1" x14ac:dyDescent="0.3">
      <c r="A3" s="32" t="s">
        <v>196</v>
      </c>
      <c r="B3" s="1" t="s">
        <v>646</v>
      </c>
      <c r="C3" s="1" t="s">
        <v>647</v>
      </c>
      <c r="D3" s="1" t="s">
        <v>648</v>
      </c>
      <c r="E3" s="1" t="s">
        <v>642</v>
      </c>
      <c r="F3" s="1" t="s">
        <v>643</v>
      </c>
      <c r="G3" s="1" t="s">
        <v>644</v>
      </c>
      <c r="H3" s="1" t="s">
        <v>521</v>
      </c>
      <c r="I3" s="1" t="s">
        <v>649</v>
      </c>
    </row>
    <row r="4" spans="1:9" ht="52.05" customHeight="1" x14ac:dyDescent="0.3">
      <c r="A4" s="32" t="s">
        <v>196</v>
      </c>
      <c r="B4" s="1" t="s">
        <v>650</v>
      </c>
      <c r="C4" s="1" t="s">
        <v>651</v>
      </c>
      <c r="D4" s="1" t="s">
        <v>652</v>
      </c>
      <c r="E4" s="1" t="s">
        <v>642</v>
      </c>
      <c r="F4" s="1" t="s">
        <v>643</v>
      </c>
      <c r="G4" s="1" t="s">
        <v>644</v>
      </c>
      <c r="H4" s="1" t="s">
        <v>521</v>
      </c>
      <c r="I4" s="1" t="s">
        <v>653</v>
      </c>
    </row>
    <row r="5" spans="1:9" ht="52.05" customHeight="1" x14ac:dyDescent="0.3">
      <c r="A5" s="32" t="s">
        <v>196</v>
      </c>
      <c r="B5" s="1" t="s">
        <v>654</v>
      </c>
      <c r="C5" s="1" t="s">
        <v>655</v>
      </c>
      <c r="D5" s="1" t="s">
        <v>656</v>
      </c>
      <c r="E5" s="1" t="s">
        <v>642</v>
      </c>
      <c r="F5" s="1" t="s">
        <v>643</v>
      </c>
      <c r="G5" s="1" t="s">
        <v>644</v>
      </c>
      <c r="H5" s="1" t="s">
        <v>521</v>
      </c>
      <c r="I5" s="1" t="s">
        <v>657</v>
      </c>
    </row>
    <row r="6" spans="1:9" ht="52.05" customHeight="1" x14ac:dyDescent="0.3">
      <c r="A6" s="32" t="s">
        <v>196</v>
      </c>
      <c r="B6" s="1" t="s">
        <v>658</v>
      </c>
      <c r="C6" s="1" t="s">
        <v>659</v>
      </c>
      <c r="D6" s="1" t="s">
        <v>660</v>
      </c>
      <c r="E6" s="1" t="s">
        <v>661</v>
      </c>
      <c r="F6" s="1" t="s">
        <v>662</v>
      </c>
      <c r="G6" s="1" t="s">
        <v>644</v>
      </c>
      <c r="H6" s="1" t="s">
        <v>521</v>
      </c>
      <c r="I6" s="1" t="s">
        <v>663</v>
      </c>
    </row>
    <row r="7" spans="1:9" ht="52.05" customHeight="1" x14ac:dyDescent="0.3">
      <c r="A7" s="32" t="s">
        <v>196</v>
      </c>
      <c r="B7" s="1" t="s">
        <v>664</v>
      </c>
      <c r="C7" s="1" t="s">
        <v>665</v>
      </c>
      <c r="D7" s="1" t="s">
        <v>666</v>
      </c>
      <c r="E7" s="1" t="s">
        <v>667</v>
      </c>
      <c r="F7" s="1" t="s">
        <v>662</v>
      </c>
      <c r="G7" s="1" t="s">
        <v>644</v>
      </c>
      <c r="H7" s="1" t="s">
        <v>521</v>
      </c>
      <c r="I7" s="1" t="s">
        <v>668</v>
      </c>
    </row>
    <row r="8" spans="1:9" ht="52.05" customHeight="1" x14ac:dyDescent="0.3">
      <c r="A8" s="32" t="s">
        <v>196</v>
      </c>
      <c r="B8" s="1" t="s">
        <v>669</v>
      </c>
      <c r="C8" s="1" t="s">
        <v>670</v>
      </c>
      <c r="D8" s="1" t="s">
        <v>671</v>
      </c>
      <c r="E8" s="1" t="s">
        <v>672</v>
      </c>
      <c r="F8" s="1" t="s">
        <v>662</v>
      </c>
      <c r="G8" s="1" t="s">
        <v>644</v>
      </c>
      <c r="H8" s="1" t="s">
        <v>521</v>
      </c>
      <c r="I8" s="1" t="s">
        <v>673</v>
      </c>
    </row>
    <row r="9" spans="1:9" ht="52.05" customHeight="1" x14ac:dyDescent="0.3">
      <c r="A9" s="32" t="s">
        <v>196</v>
      </c>
      <c r="B9" s="1" t="s">
        <v>674</v>
      </c>
      <c r="C9" s="1" t="s">
        <v>675</v>
      </c>
      <c r="D9" s="1" t="s">
        <v>676</v>
      </c>
      <c r="E9" s="1" t="s">
        <v>677</v>
      </c>
      <c r="F9" s="1" t="s">
        <v>662</v>
      </c>
      <c r="G9" s="1" t="s">
        <v>644</v>
      </c>
      <c r="H9" s="1" t="s">
        <v>521</v>
      </c>
      <c r="I9" s="1" t="s">
        <v>678</v>
      </c>
    </row>
    <row r="10" spans="1:9" ht="52.05" customHeight="1" x14ac:dyDescent="0.3">
      <c r="A10" s="32" t="s">
        <v>196</v>
      </c>
      <c r="B10" s="1" t="s">
        <v>527</v>
      </c>
      <c r="C10" s="1" t="s">
        <v>679</v>
      </c>
      <c r="D10" s="1" t="s">
        <v>680</v>
      </c>
      <c r="E10" s="1" t="s">
        <v>878</v>
      </c>
      <c r="F10" s="1" t="s">
        <v>643</v>
      </c>
      <c r="G10" s="1" t="s">
        <v>644</v>
      </c>
      <c r="H10" s="1" t="s">
        <v>521</v>
      </c>
      <c r="I10" s="1" t="s">
        <v>681</v>
      </c>
    </row>
    <row r="11" spans="1:9" ht="52.05" customHeight="1" x14ac:dyDescent="0.3">
      <c r="A11" s="32" t="s">
        <v>196</v>
      </c>
      <c r="B11" s="1" t="s">
        <v>682</v>
      </c>
      <c r="C11" s="1" t="s">
        <v>683</v>
      </c>
      <c r="D11" s="1" t="s">
        <v>684</v>
      </c>
      <c r="E11" s="1" t="s">
        <v>685</v>
      </c>
      <c r="F11" s="1" t="s">
        <v>643</v>
      </c>
      <c r="G11" s="1" t="s">
        <v>644</v>
      </c>
      <c r="H11" s="1" t="s">
        <v>521</v>
      </c>
      <c r="I11" s="1" t="s">
        <v>686</v>
      </c>
    </row>
    <row r="12" spans="1:9" ht="52.05" customHeight="1" x14ac:dyDescent="0.3">
      <c r="A12" s="32" t="s">
        <v>196</v>
      </c>
      <c r="B12" s="1" t="s">
        <v>687</v>
      </c>
      <c r="C12" s="1" t="s">
        <v>688</v>
      </c>
      <c r="D12" s="1" t="s">
        <v>689</v>
      </c>
      <c r="E12" s="1" t="s">
        <v>690</v>
      </c>
      <c r="F12" s="1" t="s">
        <v>643</v>
      </c>
      <c r="G12" s="1" t="s">
        <v>644</v>
      </c>
      <c r="H12" s="1" t="s">
        <v>521</v>
      </c>
      <c r="I12" s="1" t="s">
        <v>691</v>
      </c>
    </row>
    <row r="13" spans="1:9" ht="52.05" customHeight="1" x14ac:dyDescent="0.3">
      <c r="A13" s="32" t="s">
        <v>196</v>
      </c>
      <c r="B13" s="1" t="s">
        <v>692</v>
      </c>
      <c r="C13" s="1" t="s">
        <v>693</v>
      </c>
      <c r="D13" s="1" t="s">
        <v>694</v>
      </c>
      <c r="E13" s="1" t="s">
        <v>695</v>
      </c>
      <c r="F13" s="1" t="s">
        <v>662</v>
      </c>
      <c r="G13" s="1" t="s">
        <v>644</v>
      </c>
      <c r="H13" s="1" t="s">
        <v>521</v>
      </c>
      <c r="I13" s="1" t="s">
        <v>696</v>
      </c>
    </row>
    <row r="14" spans="1:9" ht="52.05" customHeight="1" x14ac:dyDescent="0.3">
      <c r="A14" s="32" t="s">
        <v>196</v>
      </c>
      <c r="B14" s="1" t="s">
        <v>697</v>
      </c>
      <c r="C14" s="1" t="s">
        <v>698</v>
      </c>
      <c r="D14" s="1" t="s">
        <v>699</v>
      </c>
      <c r="E14" s="1" t="s">
        <v>700</v>
      </c>
      <c r="F14" s="1" t="s">
        <v>662</v>
      </c>
      <c r="G14" s="1" t="s">
        <v>644</v>
      </c>
      <c r="H14" s="1" t="s">
        <v>521</v>
      </c>
      <c r="I14" s="1" t="s">
        <v>701</v>
      </c>
    </row>
    <row r="15" spans="1:9" ht="52.05" customHeight="1" x14ac:dyDescent="0.3">
      <c r="A15" s="32" t="s">
        <v>196</v>
      </c>
      <c r="B15" s="1" t="s">
        <v>702</v>
      </c>
      <c r="C15" s="1" t="s">
        <v>703</v>
      </c>
      <c r="D15" s="1" t="s">
        <v>704</v>
      </c>
      <c r="E15" s="1" t="s">
        <v>705</v>
      </c>
      <c r="F15" s="1" t="s">
        <v>662</v>
      </c>
      <c r="G15" s="1" t="s">
        <v>644</v>
      </c>
      <c r="H15" s="1" t="s">
        <v>521</v>
      </c>
      <c r="I15" s="1" t="s">
        <v>706</v>
      </c>
    </row>
    <row r="16" spans="1:9" ht="52.05" customHeight="1" x14ac:dyDescent="0.3">
      <c r="A16" s="32" t="s">
        <v>196</v>
      </c>
      <c r="B16" s="1" t="s">
        <v>707</v>
      </c>
      <c r="C16" s="1" t="s">
        <v>708</v>
      </c>
      <c r="D16" s="1" t="s">
        <v>709</v>
      </c>
      <c r="E16" s="1" t="s">
        <v>710</v>
      </c>
      <c r="F16" s="1" t="s">
        <v>662</v>
      </c>
      <c r="G16" s="1" t="s">
        <v>644</v>
      </c>
      <c r="H16" s="1" t="s">
        <v>521</v>
      </c>
      <c r="I16" s="1" t="s">
        <v>711</v>
      </c>
    </row>
    <row r="17" spans="1:9" ht="52.05" customHeight="1" x14ac:dyDescent="0.3">
      <c r="A17" s="32" t="s">
        <v>196</v>
      </c>
      <c r="B17" s="1" t="s">
        <v>712</v>
      </c>
      <c r="C17" s="1" t="s">
        <v>713</v>
      </c>
      <c r="D17" s="1" t="s">
        <v>714</v>
      </c>
      <c r="E17" s="1" t="s">
        <v>715</v>
      </c>
      <c r="F17" s="1" t="s">
        <v>662</v>
      </c>
      <c r="G17" s="1" t="s">
        <v>644</v>
      </c>
      <c r="H17" s="1" t="s">
        <v>521</v>
      </c>
      <c r="I17" s="1" t="s">
        <v>716</v>
      </c>
    </row>
    <row r="18" spans="1:9" ht="52.05" customHeight="1" x14ac:dyDescent="0.3">
      <c r="A18" s="32" t="s">
        <v>196</v>
      </c>
      <c r="B18" s="1" t="s">
        <v>107</v>
      </c>
      <c r="C18" s="1" t="s">
        <v>717</v>
      </c>
      <c r="D18" s="1" t="s">
        <v>718</v>
      </c>
      <c r="E18" s="1" t="s">
        <v>719</v>
      </c>
      <c r="F18" s="1" t="s">
        <v>662</v>
      </c>
      <c r="G18" s="1" t="s">
        <v>644</v>
      </c>
      <c r="H18" s="1" t="s">
        <v>521</v>
      </c>
      <c r="I18" s="1" t="s">
        <v>720</v>
      </c>
    </row>
    <row r="19" spans="1:9" ht="52.05" customHeight="1" x14ac:dyDescent="0.3">
      <c r="A19" s="32" t="s">
        <v>196</v>
      </c>
      <c r="B19" s="1" t="s">
        <v>121</v>
      </c>
      <c r="C19" s="1" t="s">
        <v>721</v>
      </c>
      <c r="D19" s="1" t="s">
        <v>722</v>
      </c>
      <c r="E19" s="1" t="s">
        <v>723</v>
      </c>
      <c r="F19" s="1" t="s">
        <v>643</v>
      </c>
      <c r="G19" s="1" t="s">
        <v>644</v>
      </c>
      <c r="H19" s="1" t="s">
        <v>521</v>
      </c>
      <c r="I19" s="1" t="s">
        <v>724</v>
      </c>
    </row>
    <row r="20" spans="1:9" ht="52.05" customHeight="1" x14ac:dyDescent="0.3">
      <c r="A20" s="32" t="s">
        <v>196</v>
      </c>
      <c r="B20" s="1" t="s">
        <v>725</v>
      </c>
      <c r="C20" s="1" t="s">
        <v>726</v>
      </c>
      <c r="D20" s="1" t="s">
        <v>727</v>
      </c>
      <c r="E20" s="1" t="s">
        <v>728</v>
      </c>
      <c r="F20" s="1" t="s">
        <v>662</v>
      </c>
      <c r="G20" s="1" t="s">
        <v>644</v>
      </c>
      <c r="H20" s="1" t="s">
        <v>521</v>
      </c>
      <c r="I20" s="1" t="s">
        <v>729</v>
      </c>
    </row>
    <row r="21" spans="1:9" ht="52.05" customHeight="1" x14ac:dyDescent="0.3">
      <c r="A21" s="32" t="s">
        <v>196</v>
      </c>
      <c r="B21" s="1" t="s">
        <v>730</v>
      </c>
      <c r="C21" s="1" t="s">
        <v>731</v>
      </c>
      <c r="D21" s="1" t="s">
        <v>732</v>
      </c>
      <c r="E21" s="1" t="s">
        <v>733</v>
      </c>
      <c r="F21" s="1" t="s">
        <v>662</v>
      </c>
      <c r="G21" s="1" t="s">
        <v>644</v>
      </c>
      <c r="H21" s="1" t="s">
        <v>521</v>
      </c>
      <c r="I21" s="1" t="s">
        <v>734</v>
      </c>
    </row>
    <row r="22" spans="1:9" ht="52.05" customHeight="1" x14ac:dyDescent="0.3">
      <c r="A22" s="33" t="s">
        <v>542</v>
      </c>
      <c r="B22" s="1" t="s">
        <v>735</v>
      </c>
      <c r="C22" s="1" t="s">
        <v>736</v>
      </c>
      <c r="D22" s="1" t="s">
        <v>656</v>
      </c>
      <c r="E22" s="1" t="s">
        <v>642</v>
      </c>
      <c r="F22" s="1" t="s">
        <v>737</v>
      </c>
      <c r="G22" s="1" t="s">
        <v>644</v>
      </c>
      <c r="H22" s="1" t="s">
        <v>547</v>
      </c>
      <c r="I22" s="1" t="s">
        <v>738</v>
      </c>
    </row>
    <row r="23" spans="1:9" ht="52.05" customHeight="1" x14ac:dyDescent="0.3">
      <c r="A23" s="33" t="s">
        <v>542</v>
      </c>
      <c r="B23" s="1" t="s">
        <v>739</v>
      </c>
      <c r="C23" s="1" t="s">
        <v>740</v>
      </c>
      <c r="D23" s="1" t="s">
        <v>741</v>
      </c>
      <c r="E23" s="1" t="s">
        <v>642</v>
      </c>
      <c r="F23" s="1" t="s">
        <v>737</v>
      </c>
      <c r="G23" s="1" t="s">
        <v>644</v>
      </c>
      <c r="H23" s="1" t="s">
        <v>547</v>
      </c>
      <c r="I23" s="1" t="s">
        <v>742</v>
      </c>
    </row>
    <row r="24" spans="1:9" ht="52.05" customHeight="1" x14ac:dyDescent="0.3">
      <c r="A24" s="33" t="s">
        <v>542</v>
      </c>
      <c r="B24" s="1" t="s">
        <v>743</v>
      </c>
      <c r="C24" s="1" t="s">
        <v>744</v>
      </c>
      <c r="D24" s="1" t="s">
        <v>745</v>
      </c>
      <c r="E24" s="1" t="s">
        <v>642</v>
      </c>
      <c r="F24" s="1" t="s">
        <v>737</v>
      </c>
      <c r="G24" s="1" t="s">
        <v>644</v>
      </c>
      <c r="H24" s="1" t="s">
        <v>547</v>
      </c>
      <c r="I24" s="1" t="s">
        <v>746</v>
      </c>
    </row>
    <row r="25" spans="1:9" ht="52.05" customHeight="1" x14ac:dyDescent="0.3">
      <c r="A25" s="33" t="s">
        <v>542</v>
      </c>
      <c r="B25" s="1" t="s">
        <v>548</v>
      </c>
      <c r="C25" s="1" t="s">
        <v>747</v>
      </c>
      <c r="D25" s="1" t="s">
        <v>648</v>
      </c>
      <c r="E25" s="1" t="s">
        <v>642</v>
      </c>
      <c r="F25" s="1" t="s">
        <v>737</v>
      </c>
      <c r="G25" s="1" t="s">
        <v>644</v>
      </c>
      <c r="H25" s="1" t="s">
        <v>547</v>
      </c>
      <c r="I25" s="1" t="s">
        <v>748</v>
      </c>
    </row>
    <row r="26" spans="1:9" ht="52.05" customHeight="1" x14ac:dyDescent="0.3">
      <c r="A26" s="33" t="s">
        <v>542</v>
      </c>
      <c r="B26" s="1" t="s">
        <v>551</v>
      </c>
      <c r="C26" s="1" t="s">
        <v>749</v>
      </c>
      <c r="D26" s="1" t="s">
        <v>652</v>
      </c>
      <c r="E26" s="1" t="s">
        <v>642</v>
      </c>
      <c r="F26" s="1" t="s">
        <v>737</v>
      </c>
      <c r="G26" s="1" t="s">
        <v>644</v>
      </c>
      <c r="H26" s="1" t="s">
        <v>547</v>
      </c>
      <c r="I26" s="1" t="s">
        <v>750</v>
      </c>
    </row>
    <row r="27" spans="1:9" ht="52.05" customHeight="1" x14ac:dyDescent="0.3">
      <c r="A27" s="33" t="s">
        <v>542</v>
      </c>
      <c r="B27" s="1" t="s">
        <v>554</v>
      </c>
      <c r="C27" s="1" t="s">
        <v>751</v>
      </c>
      <c r="D27" s="1" t="s">
        <v>752</v>
      </c>
      <c r="E27" s="1" t="s">
        <v>879</v>
      </c>
      <c r="F27" s="1" t="s">
        <v>556</v>
      </c>
      <c r="G27" s="1" t="s">
        <v>644</v>
      </c>
      <c r="H27" s="1" t="s">
        <v>547</v>
      </c>
      <c r="I27" s="1" t="s">
        <v>753</v>
      </c>
    </row>
    <row r="28" spans="1:9" ht="52.05" customHeight="1" x14ac:dyDescent="0.3">
      <c r="A28" s="33" t="s">
        <v>542</v>
      </c>
      <c r="B28" s="1" t="s">
        <v>754</v>
      </c>
      <c r="C28" s="1" t="s">
        <v>755</v>
      </c>
      <c r="D28" s="1" t="s">
        <v>756</v>
      </c>
      <c r="E28" s="1" t="s">
        <v>757</v>
      </c>
      <c r="F28" s="1" t="s">
        <v>556</v>
      </c>
      <c r="G28" s="1" t="s">
        <v>644</v>
      </c>
      <c r="H28" s="1" t="s">
        <v>547</v>
      </c>
      <c r="I28" s="1" t="s">
        <v>758</v>
      </c>
    </row>
    <row r="29" spans="1:9" ht="52.05" customHeight="1" x14ac:dyDescent="0.3">
      <c r="A29" s="33" t="s">
        <v>542</v>
      </c>
      <c r="B29" s="1" t="s">
        <v>759</v>
      </c>
      <c r="C29" s="1" t="s">
        <v>760</v>
      </c>
      <c r="D29" s="1" t="s">
        <v>761</v>
      </c>
      <c r="E29" s="1" t="s">
        <v>762</v>
      </c>
      <c r="F29" s="1" t="s">
        <v>763</v>
      </c>
      <c r="G29" s="1" t="s">
        <v>644</v>
      </c>
      <c r="H29" s="1" t="s">
        <v>547</v>
      </c>
      <c r="I29" s="1" t="s">
        <v>764</v>
      </c>
    </row>
    <row r="30" spans="1:9" ht="52.05" customHeight="1" x14ac:dyDescent="0.3">
      <c r="A30" s="33" t="s">
        <v>542</v>
      </c>
      <c r="B30" s="1" t="s">
        <v>765</v>
      </c>
      <c r="C30" s="1" t="s">
        <v>766</v>
      </c>
      <c r="D30" s="1" t="s">
        <v>767</v>
      </c>
      <c r="E30" s="1" t="s">
        <v>768</v>
      </c>
      <c r="F30" s="1" t="s">
        <v>763</v>
      </c>
      <c r="G30" s="1" t="s">
        <v>644</v>
      </c>
      <c r="H30" s="1" t="s">
        <v>547</v>
      </c>
      <c r="I30" s="1" t="s">
        <v>769</v>
      </c>
    </row>
    <row r="31" spans="1:9" ht="52.05" customHeight="1" x14ac:dyDescent="0.3">
      <c r="A31" s="33" t="s">
        <v>542</v>
      </c>
      <c r="B31" s="1" t="s">
        <v>770</v>
      </c>
      <c r="C31" s="1" t="s">
        <v>771</v>
      </c>
      <c r="D31" s="1" t="s">
        <v>772</v>
      </c>
      <c r="E31" s="1" t="s">
        <v>773</v>
      </c>
      <c r="F31" s="1" t="s">
        <v>763</v>
      </c>
      <c r="G31" s="1" t="s">
        <v>644</v>
      </c>
      <c r="H31" s="1" t="s">
        <v>547</v>
      </c>
      <c r="I31" s="1" t="s">
        <v>774</v>
      </c>
    </row>
    <row r="32" spans="1:9" ht="52.05" customHeight="1" x14ac:dyDescent="0.3">
      <c r="A32" s="33" t="s">
        <v>542</v>
      </c>
      <c r="B32" s="1" t="s">
        <v>775</v>
      </c>
      <c r="C32" s="1" t="s">
        <v>776</v>
      </c>
      <c r="D32" s="1" t="s">
        <v>777</v>
      </c>
      <c r="E32" s="1" t="s">
        <v>778</v>
      </c>
      <c r="F32" s="1" t="s">
        <v>763</v>
      </c>
      <c r="G32" s="1" t="s">
        <v>644</v>
      </c>
      <c r="H32" s="1" t="s">
        <v>547</v>
      </c>
      <c r="I32" s="1" t="s">
        <v>779</v>
      </c>
    </row>
    <row r="33" spans="1:9" ht="52.05" customHeight="1" x14ac:dyDescent="0.3">
      <c r="A33" s="33" t="s">
        <v>542</v>
      </c>
      <c r="B33" s="1" t="s">
        <v>780</v>
      </c>
      <c r="C33" s="1" t="s">
        <v>781</v>
      </c>
      <c r="D33" s="1" t="s">
        <v>782</v>
      </c>
      <c r="E33" s="1" t="s">
        <v>783</v>
      </c>
      <c r="F33" s="1" t="s">
        <v>763</v>
      </c>
      <c r="G33" s="1" t="s">
        <v>644</v>
      </c>
      <c r="H33" s="1" t="s">
        <v>547</v>
      </c>
      <c r="I33" s="1" t="s">
        <v>784</v>
      </c>
    </row>
    <row r="34" spans="1:9" ht="52.05" customHeight="1" x14ac:dyDescent="0.3">
      <c r="A34" s="33" t="s">
        <v>542</v>
      </c>
      <c r="B34" s="1" t="s">
        <v>785</v>
      </c>
      <c r="C34" s="1" t="s">
        <v>786</v>
      </c>
      <c r="D34" s="1" t="s">
        <v>787</v>
      </c>
      <c r="E34" s="1" t="s">
        <v>788</v>
      </c>
      <c r="F34" s="1" t="s">
        <v>763</v>
      </c>
      <c r="G34" s="1" t="s">
        <v>644</v>
      </c>
      <c r="H34" s="1" t="s">
        <v>547</v>
      </c>
      <c r="I34" s="1" t="s">
        <v>789</v>
      </c>
    </row>
    <row r="35" spans="1:9" ht="52.05" customHeight="1" x14ac:dyDescent="0.3">
      <c r="A35" s="33" t="s">
        <v>542</v>
      </c>
      <c r="B35" s="1" t="s">
        <v>790</v>
      </c>
      <c r="C35" s="1" t="s">
        <v>791</v>
      </c>
      <c r="D35" s="1" t="s">
        <v>792</v>
      </c>
      <c r="E35" s="1" t="s">
        <v>793</v>
      </c>
      <c r="F35" s="1" t="s">
        <v>763</v>
      </c>
      <c r="G35" s="1" t="s">
        <v>644</v>
      </c>
      <c r="H35" s="1" t="s">
        <v>547</v>
      </c>
      <c r="I35" s="1" t="s">
        <v>794</v>
      </c>
    </row>
    <row r="36" spans="1:9" ht="52.05" customHeight="1" x14ac:dyDescent="0.3">
      <c r="A36" s="33" t="s">
        <v>542</v>
      </c>
      <c r="B36" s="1" t="s">
        <v>795</v>
      </c>
      <c r="C36" s="1" t="s">
        <v>796</v>
      </c>
      <c r="D36" s="1" t="s">
        <v>797</v>
      </c>
      <c r="E36" s="1" t="s">
        <v>798</v>
      </c>
      <c r="F36" s="1" t="s">
        <v>763</v>
      </c>
      <c r="G36" s="1" t="s">
        <v>644</v>
      </c>
      <c r="H36" s="1" t="s">
        <v>547</v>
      </c>
      <c r="I36" s="1" t="s">
        <v>799</v>
      </c>
    </row>
    <row r="37" spans="1:9" ht="52.05" customHeight="1" x14ac:dyDescent="0.3">
      <c r="A37" s="33" t="s">
        <v>542</v>
      </c>
      <c r="B37" s="1" t="s">
        <v>800</v>
      </c>
      <c r="C37" s="1" t="s">
        <v>801</v>
      </c>
      <c r="D37" s="1" t="s">
        <v>802</v>
      </c>
      <c r="E37" s="1" t="s">
        <v>642</v>
      </c>
      <c r="F37" s="1" t="s">
        <v>803</v>
      </c>
      <c r="G37" s="1" t="s">
        <v>644</v>
      </c>
      <c r="H37" s="1" t="s">
        <v>547</v>
      </c>
      <c r="I37" s="1" t="s">
        <v>804</v>
      </c>
    </row>
    <row r="38" spans="1:9" ht="52.05" customHeight="1" x14ac:dyDescent="0.3">
      <c r="A38" s="33" t="s">
        <v>542</v>
      </c>
      <c r="B38" s="1" t="s">
        <v>805</v>
      </c>
      <c r="C38" s="1" t="s">
        <v>806</v>
      </c>
      <c r="D38" s="1" t="s">
        <v>807</v>
      </c>
      <c r="E38" s="1" t="s">
        <v>808</v>
      </c>
      <c r="F38" s="1" t="s">
        <v>763</v>
      </c>
      <c r="G38" s="1" t="s">
        <v>644</v>
      </c>
      <c r="H38" s="1" t="s">
        <v>547</v>
      </c>
      <c r="I38" s="1" t="s">
        <v>809</v>
      </c>
    </row>
    <row r="39" spans="1:9" ht="52.05" customHeight="1" x14ac:dyDescent="0.3">
      <c r="A39" s="34" t="s">
        <v>57</v>
      </c>
      <c r="B39" s="1" t="s">
        <v>569</v>
      </c>
      <c r="C39" s="1" t="s">
        <v>810</v>
      </c>
      <c r="D39" s="1" t="s">
        <v>811</v>
      </c>
      <c r="E39" s="1" t="s">
        <v>812</v>
      </c>
      <c r="F39" s="1" t="s">
        <v>813</v>
      </c>
      <c r="G39" s="1" t="s">
        <v>644</v>
      </c>
      <c r="H39" s="1" t="s">
        <v>573</v>
      </c>
      <c r="I39" s="1" t="s">
        <v>814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28" customWidth="1"/>
    <col min="2" max="2" width="62" customWidth="1"/>
    <col min="3" max="4" width="58" customWidth="1"/>
    <col min="5" max="5" width="18" customWidth="1"/>
    <col min="6" max="6" width="54" customWidth="1"/>
  </cols>
  <sheetData>
    <row r="1" spans="1:6" ht="30" customHeight="1" x14ac:dyDescent="0.3">
      <c r="A1" s="48" t="s">
        <v>815</v>
      </c>
      <c r="B1" s="49" t="s">
        <v>816</v>
      </c>
      <c r="C1" s="49"/>
      <c r="D1" s="49"/>
      <c r="E1" s="49"/>
      <c r="F1" s="49"/>
    </row>
    <row r="2" spans="1:6" ht="40.049999999999997" customHeight="1" x14ac:dyDescent="0.3">
      <c r="A2" s="42" t="s">
        <v>105</v>
      </c>
      <c r="B2" s="42" t="s">
        <v>817</v>
      </c>
      <c r="C2" s="42"/>
      <c r="D2" s="42"/>
      <c r="E2" s="42"/>
      <c r="F2" s="42"/>
    </row>
    <row r="3" spans="1:6" ht="40.049999999999997" customHeight="1" x14ac:dyDescent="0.3">
      <c r="A3" s="42" t="s">
        <v>105</v>
      </c>
      <c r="B3" s="42" t="s">
        <v>818</v>
      </c>
      <c r="C3" s="42"/>
      <c r="D3" s="42"/>
      <c r="E3" s="42"/>
      <c r="F3" s="42"/>
    </row>
    <row r="4" spans="1:6" ht="40.049999999999997" customHeight="1" x14ac:dyDescent="0.3">
      <c r="A4" s="42" t="s">
        <v>819</v>
      </c>
      <c r="B4" s="42" t="s">
        <v>880</v>
      </c>
      <c r="C4" s="42"/>
      <c r="D4" s="42"/>
      <c r="E4" s="42"/>
      <c r="F4" s="42"/>
    </row>
    <row r="5" spans="1:6" ht="40.049999999999997" customHeight="1" x14ac:dyDescent="0.3">
      <c r="A5" s="1"/>
      <c r="B5" s="1"/>
      <c r="C5" s="1"/>
      <c r="D5" s="1"/>
      <c r="E5" s="1"/>
      <c r="F5" s="1"/>
    </row>
    <row r="6" spans="1:6" ht="40.049999999999997" customHeight="1" x14ac:dyDescent="0.3">
      <c r="A6" s="31" t="s">
        <v>2</v>
      </c>
      <c r="B6" s="31" t="s">
        <v>820</v>
      </c>
      <c r="C6" s="31" t="s">
        <v>821</v>
      </c>
      <c r="D6" s="31" t="s">
        <v>822</v>
      </c>
      <c r="E6" s="31" t="s">
        <v>823</v>
      </c>
      <c r="F6" s="31" t="s">
        <v>490</v>
      </c>
    </row>
    <row r="7" spans="1:6" ht="40.049999999999997" customHeight="1" x14ac:dyDescent="0.3">
      <c r="A7" s="1" t="s">
        <v>824</v>
      </c>
      <c r="B7" s="1" t="s">
        <v>825</v>
      </c>
      <c r="C7" s="1" t="s">
        <v>826</v>
      </c>
      <c r="D7" s="1" t="s">
        <v>827</v>
      </c>
      <c r="E7" s="1" t="s">
        <v>828</v>
      </c>
      <c r="F7" s="1" t="s">
        <v>829</v>
      </c>
    </row>
    <row r="8" spans="1:6" ht="40.049999999999997" customHeight="1" x14ac:dyDescent="0.3">
      <c r="A8" s="1" t="s">
        <v>830</v>
      </c>
      <c r="B8" s="1" t="s">
        <v>831</v>
      </c>
      <c r="C8" s="1" t="s">
        <v>832</v>
      </c>
      <c r="D8" s="1" t="s">
        <v>827</v>
      </c>
      <c r="E8" s="1" t="s">
        <v>828</v>
      </c>
      <c r="F8" s="1" t="s">
        <v>833</v>
      </c>
    </row>
    <row r="9" spans="1:6" ht="40.049999999999997" customHeight="1" x14ac:dyDescent="0.3">
      <c r="A9" s="1" t="s">
        <v>834</v>
      </c>
      <c r="B9" s="1" t="s">
        <v>835</v>
      </c>
      <c r="C9" s="1" t="s">
        <v>836</v>
      </c>
      <c r="D9" s="1" t="s">
        <v>837</v>
      </c>
      <c r="E9" s="1" t="s">
        <v>838</v>
      </c>
      <c r="F9" s="1" t="s">
        <v>839</v>
      </c>
    </row>
    <row r="10" spans="1:6" ht="40.049999999999997" customHeight="1" x14ac:dyDescent="0.3">
      <c r="A10" s="1" t="s">
        <v>840</v>
      </c>
      <c r="B10" s="1" t="s">
        <v>841</v>
      </c>
      <c r="C10" s="1" t="s">
        <v>842</v>
      </c>
      <c r="D10" s="1" t="s">
        <v>843</v>
      </c>
      <c r="E10" s="1" t="s">
        <v>844</v>
      </c>
      <c r="F10" s="1" t="s">
        <v>845</v>
      </c>
    </row>
    <row r="11" spans="1:6" ht="40.049999999999997" customHeight="1" x14ac:dyDescent="0.3">
      <c r="A11" s="1" t="s">
        <v>846</v>
      </c>
      <c r="B11" s="1" t="s">
        <v>847</v>
      </c>
      <c r="C11" s="1" t="s">
        <v>848</v>
      </c>
      <c r="D11" s="1" t="s">
        <v>849</v>
      </c>
      <c r="E11" s="1" t="s">
        <v>850</v>
      </c>
      <c r="F11" s="1" t="s">
        <v>851</v>
      </c>
    </row>
    <row r="12" spans="1:6" ht="40.049999999999997" customHeight="1" x14ac:dyDescent="0.3">
      <c r="A12" s="1" t="s">
        <v>425</v>
      </c>
      <c r="B12" s="1" t="s">
        <v>852</v>
      </c>
      <c r="C12" s="1" t="s">
        <v>853</v>
      </c>
      <c r="D12" s="1" t="s">
        <v>854</v>
      </c>
      <c r="E12" s="1" t="s">
        <v>855</v>
      </c>
      <c r="F12" s="1" t="s">
        <v>856</v>
      </c>
    </row>
    <row r="13" spans="1:6" ht="40.049999999999997" customHeight="1" x14ac:dyDescent="0.3">
      <c r="A13" s="1" t="s">
        <v>857</v>
      </c>
      <c r="B13" s="1" t="s">
        <v>858</v>
      </c>
      <c r="C13" s="1" t="s">
        <v>859</v>
      </c>
      <c r="D13" s="1" t="s">
        <v>860</v>
      </c>
      <c r="E13" s="1" t="s">
        <v>861</v>
      </c>
      <c r="F13" s="1" t="s">
        <v>862</v>
      </c>
    </row>
    <row r="14" spans="1:6" ht="40.049999999999997" customHeight="1" x14ac:dyDescent="0.3">
      <c r="A14" s="1"/>
      <c r="B14" s="1"/>
      <c r="C14" s="1"/>
      <c r="D14" s="1"/>
      <c r="E14" s="1"/>
      <c r="F14" s="1"/>
    </row>
    <row r="15" spans="1:6" ht="40.049999999999997" customHeight="1" x14ac:dyDescent="0.3">
      <c r="A15" s="43" t="s">
        <v>863</v>
      </c>
      <c r="B15" s="43" t="s">
        <v>864</v>
      </c>
      <c r="C15" s="43"/>
      <c r="D15" s="43"/>
      <c r="E15" s="43"/>
      <c r="F15" s="43"/>
    </row>
    <row r="16" spans="1:6" ht="40.049999999999997" customHeight="1" x14ac:dyDescent="0.3">
      <c r="A16" s="43" t="s">
        <v>865</v>
      </c>
      <c r="B16" s="43" t="s">
        <v>866</v>
      </c>
      <c r="C16" s="43"/>
      <c r="D16" s="43"/>
      <c r="E16" s="43"/>
      <c r="F16" s="43"/>
    </row>
    <row r="17" spans="1:6" ht="40.049999999999997" customHeight="1" x14ac:dyDescent="0.3">
      <c r="A17" s="43" t="s">
        <v>624</v>
      </c>
      <c r="B17" s="43" t="s">
        <v>867</v>
      </c>
      <c r="C17" s="43"/>
      <c r="D17" s="43"/>
      <c r="E17" s="43"/>
      <c r="F17" s="43"/>
    </row>
    <row r="18" spans="1:6" ht="40.049999999999997" customHeight="1" x14ac:dyDescent="0.3">
      <c r="A18" s="43" t="s">
        <v>868</v>
      </c>
      <c r="B18" s="43" t="s">
        <v>521</v>
      </c>
      <c r="C18" s="43"/>
      <c r="D18" s="43"/>
      <c r="E18" s="43"/>
      <c r="F18" s="43"/>
    </row>
    <row r="19" spans="1:6" ht="40.049999999999997" customHeight="1" x14ac:dyDescent="0.3">
      <c r="A19" s="43" t="s">
        <v>868</v>
      </c>
      <c r="B19" s="43" t="s">
        <v>547</v>
      </c>
      <c r="C19" s="43"/>
      <c r="D19" s="43"/>
      <c r="E19" s="43"/>
      <c r="F19" s="43"/>
    </row>
    <row r="20" spans="1:6" ht="40.049999999999997" customHeight="1" x14ac:dyDescent="0.3">
      <c r="A20" s="43" t="s">
        <v>869</v>
      </c>
      <c r="B20" s="43" t="s">
        <v>573</v>
      </c>
      <c r="C20" s="43"/>
      <c r="D20" s="43"/>
      <c r="E20" s="43"/>
      <c r="F20" s="43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Daily Plan</vt:lpstr>
      <vt:lpstr>Rules and Sequence</vt:lpstr>
      <vt:lpstr>Phase Overview</vt:lpstr>
      <vt:lpstr>Syllabus Audit</vt:lpstr>
      <vt:lpstr>Completed Foundation</vt:lpstr>
      <vt:lpstr>Foundation Subtopics</vt:lpstr>
      <vt:lpstr>Subject Checklists</vt:lpstr>
      <vt:lpstr>Question Tracker</vt:lpstr>
      <vt:lpstr>Change Log</vt:lpstr>
      <vt:lpstr>Official Syllabus Coverage</vt:lpstr>
      <vt:lpstr>Priority &amp; Daily Routine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Borimalla Darshankumar-[AM.EN.U4CSE22114]</cp:lastModifiedBy>
  <dcterms:modified xsi:type="dcterms:W3CDTF">2026-10-23T06:38:55Z</dcterms:modified>
</cp:coreProperties>
</file>